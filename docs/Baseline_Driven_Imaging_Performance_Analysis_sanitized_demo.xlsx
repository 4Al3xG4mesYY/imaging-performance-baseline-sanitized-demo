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1" activeTab="3" autoFilterDateGrouping="1"/>
  </bookViews>
  <sheets>
    <sheet xmlns:r="http://schemas.openxmlformats.org/officeDocument/2006/relationships" name="SANITIZED_DEMO" sheetId="1" state="visible" r:id="rId1"/>
    <sheet xmlns:r="http://schemas.openxmlformats.org/officeDocument/2006/relationships" name="Testing_Drive_charts" sheetId="2" state="visible" r:id="rId2"/>
    <sheet xmlns:r="http://schemas.openxmlformats.org/officeDocument/2006/relationships" name="Pivots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2026-04" sheetId="5" state="visible" r:id="rId5"/>
    <sheet xmlns:r="http://schemas.openxmlformats.org/officeDocument/2006/relationships" name="2026-03" sheetId="6" state="visible" r:id="rId6"/>
    <sheet xmlns:r="http://schemas.openxmlformats.org/officeDocument/2006/relationships" name="All_Data" sheetId="7" state="visible" r:id="rId7"/>
  </sheets>
  <definedNames>
    <definedName name="Slicer_Date">#N/A</definedName>
    <definedName name="Slicer_Date1">#N/A</definedName>
    <definedName name="Slicer_Date2">#N/A</definedName>
    <definedName name="Slicer_Date3">#N/A</definedName>
    <definedName name="_xlnm._FilterDatabase" localSheetId="4" hidden="1">'2026-04'!$A$1:$R$18</definedName>
  </definedNames>
  <calcPr calcId="191029" fullCalcOnLoad="1"/>
  <pivotCaches>
    <pivotCache xmlns:r="http://schemas.openxmlformats.org/officeDocument/2006/relationships" cacheId="6" r:id="rId8"/>
    <pivotCache xmlns:r="http://schemas.openxmlformats.org/officeDocument/2006/relationships" cacheId="16" r:id="rId9"/>
  </pivotCaches>
</workbook>
</file>

<file path=xl/styles.xml><?xml version="1.0" encoding="utf-8"?>
<styleSheet xmlns="http://schemas.openxmlformats.org/spreadsheetml/2006/main">
  <numFmts count="1">
    <numFmt numFmtId="164" formatCode="h:mm;@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b val="1"/>
      <color theme="1"/>
      <sz val="12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2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20" fontId="0" fillId="0" borderId="0" applyAlignment="1" pivotButton="0" quotePrefix="0" xfId="0">
      <alignment wrapText="1"/>
    </xf>
    <xf numFmtId="2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2" fontId="0" fillId="0" borderId="0" pivotButton="0" quotePrefix="0" xfId="0"/>
    <xf numFmtId="14" fontId="0" fillId="0" borderId="0" applyAlignment="1" pivotButton="0" quotePrefix="0" xfId="0">
      <alignment horizontal="left"/>
    </xf>
    <xf numFmtId="18" fontId="0" fillId="0" borderId="0" pivotButton="0" quotePrefix="0" xfId="0"/>
    <xf numFmtId="2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top"/>
    </xf>
    <xf numFmtId="20" fontId="0" fillId="0" borderId="0" applyAlignment="1" pivotButton="0" quotePrefix="0" xfId="0">
      <alignment horizontal="right"/>
    </xf>
    <xf numFmtId="20" fontId="0" fillId="0" borderId="0" applyAlignment="1" pivotButton="0" quotePrefix="0" xfId="0">
      <alignment horizontal="right"/>
    </xf>
    <xf numFmtId="2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 vertical="center"/>
    </xf>
    <xf numFmtId="18" fontId="0" fillId="0" borderId="0" applyAlignment="1" pivotButton="0" quotePrefix="0" xfId="0">
      <alignment horizontal="right"/>
    </xf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0" fillId="0" borderId="0" applyAlignment="1" pivotButton="1" quotePrefix="0" xfId="0">
      <alignment wrapText="1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1" quotePrefix="0" xfId="0">
      <alignment vertical="center"/>
    </xf>
    <xf numFmtId="0" fontId="4" fillId="0" borderId="0" pivotButton="0" quotePrefix="0" xfId="0"/>
  </cellXfs>
  <cellStyles count="1">
    <cellStyle name="Normal" xfId="0" builtinId="0"/>
  </cellStyles>
  <dxfs count="15">
    <dxf>
      <alignment vertical="top"/>
    </dxf>
    <dxf>
      <alignment vertical="center"/>
    </dxf>
    <dxf>
      <alignment wrapText="1"/>
    </dxf>
    <dxf>
      <alignment wrapText="1"/>
    </dxf>
    <dxf>
      <alignment vertical="center"/>
    </dxf>
    <dxf>
      <alignment vertical="top"/>
    </dxf>
    <dxf>
      <alignment wrapText="1"/>
    </dxf>
    <dxf>
      <alignment wrapText="1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pivotCacheDefinition" Target="/xl/pivotCache/pivotCacheDefinition1.xml" Id="rId8"/><Relationship Type="http://schemas.openxmlformats.org/officeDocument/2006/relationships/pivotCacheDefinition" Target="/xl/pivotCache/pivotCacheDefinition2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pivotSource>
    <name>[Baseline‑Driven Imaging Performance Analysis.xlsx]Testing_Drive_charts!PivotTable1</name>
    <fmtId val="2"/>
  </pivotSource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circle"/>
          <size val="5"/>
          <spPr>
            <a:solidFill xmlns:a="http://schemas.openxmlformats.org/drawingml/2006/main">
              <a:schemeClr val="accent1"/>
            </a:solidFill>
            <a:ln xmlns:a="http://schemas.openxmlformats.org/drawingml/2006/main" w="9525">
              <a:solidFill>
                <a:schemeClr val="accent1"/>
              </a:solidFill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t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lineChart>
        <grouping val="standard"/>
        <varyColors val="0"/>
        <ser>
          <idx val="0"/>
          <order val="0"/>
          <tx>
            <strRef>
              <f>Testing_Drive_charts!$B$3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Testing_Drive_charts!$A$4:$A$10</f>
              <strCache>
                <ptCount val="6"/>
                <pt idx="0">
                  <v>&lt;1/0/1900</v>
                </pt>
                <pt idx="1">
                  <v>9 AM</v>
                </pt>
                <pt idx="2">
                  <v>10 AM</v>
                </pt>
                <pt idx="3">
                  <v>1 PM</v>
                </pt>
                <pt idx="4">
                  <v>2 PM</v>
                </pt>
                <pt idx="5">
                  <v>4 PM</v>
                </pt>
              </strCache>
            </strRef>
          </cat>
          <val>
            <numRef>
              <f>Testing_Drive_charts!$B$4:$B$10</f>
              <numCache>
                <formatCode>General</formatCode>
                <ptCount val="6"/>
                <pt idx="1">
                  <v>0.01319444444444444</v>
                </pt>
                <pt idx="2">
                  <v>0.01193287037037037</v>
                </pt>
                <pt idx="3">
                  <v>0.01226851851851852</v>
                </pt>
                <pt idx="4">
                  <v>0.015625</v>
                </pt>
                <pt idx="5">
                  <v>0.01527777777777778</v>
                </pt>
              </numCache>
            </numRef>
          </val>
          <smooth val="0"/>
        </ser>
        <dLbls>
          <dLblPos val="t"/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1065632383"/>
        <axId val="1613416304"/>
      </lineChart>
      <catAx>
        <axId val="106563238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13416304"/>
        <crosses val="autoZero"/>
        <auto val="1"/>
        <lblAlgn val="ctr"/>
        <lblOffset val="100"/>
        <noMultiLvlLbl val="0"/>
      </catAx>
      <valAx>
        <axId val="161341630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65632383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pivotSource>
    <name>[Baseline‑Driven Imaging Performance Analysis.xlsx]Testing_Drive_charts!PivotTable1</name>
    <fmtId val="4"/>
  </pivotSource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bestFit"/>
          <showLegendKey val="0"/>
          <showVal val="1"/>
          <showCatName val="1"/>
          <showSerName val="0"/>
          <showPercent val="1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3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4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5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6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Testing_Drive_charts!$B$3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bestFit"/>
            <showLegendKey val="0"/>
            <showVal val="1"/>
            <showCatName val="1"/>
            <showSerName val="0"/>
            <showPercent val="1"/>
            <showBubbleSize val="0"/>
            <showLeaderLines val="1"/>
          </dLbls>
          <cat>
            <strRef>
              <f>Testing_Drive_charts!$A$4:$A$10</f>
              <strCache>
                <ptCount val="6"/>
                <pt idx="0">
                  <v>&lt;1/0/1900</v>
                </pt>
                <pt idx="1">
                  <v>9 AM</v>
                </pt>
                <pt idx="2">
                  <v>10 AM</v>
                </pt>
                <pt idx="3">
                  <v>1 PM</v>
                </pt>
                <pt idx="4">
                  <v>2 PM</v>
                </pt>
                <pt idx="5">
                  <v>4 PM</v>
                </pt>
              </strCache>
            </strRef>
          </cat>
          <val>
            <numRef>
              <f>Testing_Drive_charts!$B$4:$B$10</f>
              <numCache>
                <formatCode>General</formatCode>
                <ptCount val="6"/>
                <pt idx="1">
                  <v>0.01319444444444444</v>
                </pt>
                <pt idx="2">
                  <v>0.01193287037037037</v>
                </pt>
                <pt idx="3">
                  <v>0.01226851851851852</v>
                </pt>
                <pt idx="4">
                  <v>0.015625</v>
                </pt>
                <pt idx="5">
                  <v>0.01527777777777778</v>
                </pt>
              </numCache>
            </numRef>
          </val>
        </ser>
        <dLbls>
          <dLblPos val="bestFit"/>
          <showLegendKey val="0"/>
          <showVal val="1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pivotSource>
    <name>[Baseline‑Driven Imaging Performance Analysis.xlsx]Pivots!PivotTable2</name>
    <fmtId val="19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>
                <effectLst/>
              </a:rPr>
              <a:t>Average Imaging Duration by Image (Production Imaging)</a:t>
            </a:r>
            <a:endParaRPr lang="en-US" b="0" i="0">
              <effectLst/>
            </a:endParaRPr>
          </a:p>
        </rich>
      </tx>
      <layout>
        <manualLayout>
          <xMode val="edge"/>
          <yMode val="edge"/>
          <wMode val="factor"/>
          <hMode val="factor"/>
          <x val="0.1454372817883746"/>
          <y val="0.0216450216450216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stacked"/>
        <varyColors val="0"/>
        <ser>
          <idx val="0"/>
          <order val="0"/>
          <tx>
            <strRef>
              <f>Pivots!$B$5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Pivots!$A$6:$A$9</f>
              <strCache>
                <ptCount val="4"/>
                <pt idx="0">
                  <v>SCO-7703</v>
                </pt>
                <pt idx="1">
                  <v>POS-7703</v>
                </pt>
                <pt idx="2">
                  <v>POS-7702</v>
                </pt>
                <pt idx="3">
                  <v>SCO-7702</v>
                </pt>
              </strCache>
            </strRef>
          </cat>
          <val>
            <numRef>
              <f>Pivots!$B$6:$B$9</f>
              <numCache>
                <formatCode>h:mm</formatCode>
                <ptCount val="4"/>
                <pt idx="0">
                  <v>0.03055555555555555</v>
                </pt>
                <pt idx="1">
                  <v>0.01680555555555555</v>
                </pt>
                <pt idx="2">
                  <v>0.01614583333333333</v>
                </pt>
                <pt idx="3">
                  <v>0.01295683551198257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475982159"/>
        <axId val="1475983599"/>
      </barChart>
      <catAx>
        <axId val="147598215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75983599"/>
        <crosses val="autoZero"/>
        <auto val="1"/>
        <lblAlgn val="ctr"/>
        <lblOffset val="100"/>
        <noMultiLvlLbl val="0"/>
      </catAx>
      <valAx>
        <axId val="147598359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Minutes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h:mm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7598215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pivotSource>
    <name>[Baseline‑Driven Imaging Performance Analysis.xlsx]Pivots!PivotTable4</name>
    <fmtId val="6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>
                <effectLst/>
              </a:rPr>
              <a:t>Post‑Image Script Runtime (.BAT)</a:t>
            </a:r>
            <a:endParaRPr lang="en-US" b="0" i="0">
              <effectLst/>
            </a:endParaRP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Pivots!$B$16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Pivots!$A$17:$A$20</f>
              <strCache>
                <ptCount val="4"/>
                <pt idx="0">
                  <v>SCO-7702</v>
                </pt>
                <pt idx="1">
                  <v>SCO-7703</v>
                </pt>
                <pt idx="2">
                  <v>POS-7702</v>
                </pt>
                <pt idx="3">
                  <v>POS-7703</v>
                </pt>
              </strCache>
            </strRef>
          </cat>
          <val>
            <numRef>
              <f>Pivots!$B$17:$B$20</f>
              <numCache>
                <formatCode>h:mm;@</formatCode>
                <ptCount val="4"/>
                <pt idx="0">
                  <v>0.002532679738562091</v>
                </pt>
                <pt idx="1">
                  <v>0.002430555555555556</v>
                </pt>
                <pt idx="2">
                  <v>0.002199074074074074</v>
                </pt>
                <pt idx="3">
                  <v>0.001805555555555555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293771231"/>
        <axId val="1293771711"/>
      </barChart>
      <catAx>
        <axId val="129377123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93771711"/>
        <crosses val="autoZero"/>
        <auto val="1"/>
        <lblAlgn val="ctr"/>
        <lblOffset val="100"/>
        <noMultiLvlLbl val="0"/>
      </catAx>
      <valAx>
        <axId val="129377171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Minutes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2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h:mm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93771231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pivotSource>
    <name>[Baseline‑Driven Imaging Performance Analysis.xlsx]Pivots!PivotTable5</name>
    <fmtId val="8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b="1" i="0">
                <effectLst/>
              </a:rPr>
              <a:t>Imaging Volume by Image (Production Imaging)</a:t>
            </a:r>
            <a:endParaRPr lang="en-US" b="0" i="0">
              <effectLst/>
            </a:endParaRP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stacked"/>
        <varyColors val="0"/>
        <ser>
          <idx val="0"/>
          <order val="0"/>
          <tx>
            <strRef>
              <f>Pivots!$G$16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Pivots!$F$17:$F$20</f>
              <strCache>
                <ptCount val="4"/>
                <pt idx="0">
                  <v>SCO-7702</v>
                </pt>
                <pt idx="1">
                  <v>POS-7702</v>
                </pt>
                <pt idx="2">
                  <v>POS-7703</v>
                </pt>
                <pt idx="3">
                  <v>SCO-7703</v>
                </pt>
              </strCache>
            </strRef>
          </cat>
          <val>
            <numRef>
              <f>Pivots!$G$17:$G$20</f>
              <numCache>
                <formatCode>General</formatCode>
                <ptCount val="4"/>
                <pt idx="0">
                  <v>17</v>
                </pt>
                <pt idx="1">
                  <v>12</v>
                </pt>
                <pt idx="2">
                  <v>5</v>
                </pt>
                <pt idx="3">
                  <v>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660382015"/>
        <axId val="1660382495"/>
      </barChart>
      <catAx>
        <axId val="166038201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60382495"/>
        <crosses val="autoZero"/>
        <auto val="1"/>
        <lblAlgn val="ctr"/>
        <lblOffset val="100"/>
        <noMultiLvlLbl val="0"/>
      </catAx>
      <valAx>
        <axId val="166038249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Images</a:t>
                </a:r>
                <a:endParaRPr lang="en-US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60382015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pivotSource>
    <name>[Baseline‑Driven Imaging Performance Analysis.xlsx]Pivots!PivotTable3</name>
    <fmtId val="8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>
                <effectLst/>
              </a:rPr>
              <a:t>Imaging Duration Explained by RAM Tier (≤4‑Core Devices)</a:t>
            </a:r>
            <a:endParaRPr lang="en-US" b="0" i="0">
              <effectLst/>
            </a:endParaRP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3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stacked"/>
        <varyColors val="0"/>
        <ser>
          <idx val="0"/>
          <order val="0"/>
          <tx>
            <strRef>
              <f>Pivots!$G$5:$G$6</f>
              <strCache>
                <ptCount val="1"/>
                <pt idx="0">
                  <v>≤4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Pivots!$F$7:$F$9</f>
              <strCache>
                <ptCount val="3"/>
                <pt idx="0">
                  <v>16+</v>
                </pt>
                <pt idx="1">
                  <v>4</v>
                </pt>
                <pt idx="2">
                  <v>12</v>
                </pt>
              </strCache>
            </strRef>
          </cat>
          <val>
            <numRef>
              <f>Pivots!$G$7:$G$9</f>
              <numCache>
                <formatCode>h:mm</formatCode>
                <ptCount val="3"/>
                <pt idx="0">
                  <v>0.02222222222222222</v>
                </pt>
                <pt idx="1">
                  <v>0.02152777777777777</v>
                </pt>
                <pt idx="2">
                  <v>0.01222169612794613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272287743"/>
        <axId val="1288196623"/>
      </barChart>
      <catAx>
        <axId val="127228774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88196623"/>
        <crosses val="autoZero"/>
        <auto val="1"/>
        <lblAlgn val="ctr"/>
        <lblOffset val="100"/>
        <noMultiLvlLbl val="0"/>
      </catAx>
      <valAx>
        <axId val="128819662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Minutes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h:mm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72287743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/Relationships>
</file>

<file path=xl/drawings/drawing1.xml><?xml version="1.0" encoding="utf-8"?>
<wsDr xmlns="http://schemas.openxmlformats.org/drawingml/2006/spreadsheetDrawing">
  <twoCellAnchor>
    <from>
      <col>3</col>
      <colOff>114300</colOff>
      <row>2</row>
      <rowOff>41910</rowOff>
    </from>
    <to>
      <col>10</col>
      <colOff>419100</colOff>
      <row>17</row>
      <rowOff>41910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586740</colOff>
      <row>18</row>
      <rowOff>80010</rowOff>
    </from>
    <to>
      <col>10</col>
      <colOff>281940</colOff>
      <row>33</row>
      <rowOff>80010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0</colOff>
      <row>0</row>
      <rowOff>0</rowOff>
    </from>
    <to>
      <col>8</col>
      <colOff>15240</colOff>
      <row>16</row>
      <rowOff>7620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16</row>
      <rowOff>0</rowOff>
    </from>
    <to>
      <col>6</col>
      <colOff>320040</colOff>
      <row>28</row>
      <rowOff>137160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6</col>
      <colOff>327660</colOff>
      <row>16</row>
      <rowOff>15240</rowOff>
    </from>
    <to>
      <col>13</col>
      <colOff>601980</colOff>
      <row>28</row>
      <rowOff>160020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8</col>
      <colOff>15240</colOff>
      <row>0</row>
      <rowOff>0</rowOff>
    </from>
    <to>
      <col>15</col>
      <colOff>480060</colOff>
      <row>16</row>
      <rowOff>7620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Nguyen, Alexander" refreshedDate="46107.45975983796" createdVersion="8" refreshedVersion="8" minRefreshableVersion="3" recordCount="12" r:id="rId1">
  <cacheSource type="worksheet">
    <worksheetSource ref="A1:R1048576" sheet="2026-03"/>
  </cacheSource>
  <cacheFields count="23">
    <cacheField name="Site " uniqueList="1" numFmtId="0" sqlType="0" hierarchy="0" level="0" databaseField="1">
      <sharedItems count="0" containsBlank="1"/>
    </cacheField>
    <cacheField name="Store ID" uniqueList="1" numFmtId="0" sqlType="0" hierarchy="0" level="0" databaseField="1">
      <sharedItems count="0" containsBlank="1" containsInteger="1" containsNumber="1" containsString="0" minValue="212" maxValue="2906"/>
    </cacheField>
    <cacheField name="Device Type" uniqueList="1" numFmtId="0" sqlType="0" hierarchy="0" level="0" databaseField="1">
      <sharedItems count="0" containsBlank="1"/>
    </cacheField>
    <cacheField name="Register #" uniqueList="1" numFmtId="0" sqlType="0" hierarchy="0" level="0" databaseField="1">
      <sharedItems count="0" containsBlank="1" containsInteger="1" containsNumber="1" containsString="0" minValue="2" maxValue="18"/>
    </cacheField>
    <cacheField name="System Name" uniqueList="1" numFmtId="0" sqlType="0" hierarchy="0" level="0" databaseField="1">
      <sharedItems count="0" containsBlank="1"/>
    </cacheField>
    <cacheField name="Device Image #" uniqueList="1" numFmtId="0" sqlType="0" hierarchy="0" level="0" databaseField="1">
      <sharedItems count="0" containsBlank="1" containsInteger="1" containsNumber="1" containsString="0" minValue="7702" maxValue="7703"/>
    </cacheField>
    <cacheField name="Image" uniqueList="1" numFmtId="0" sqlType="0" hierarchy="0" level="0" databaseField="1">
      <sharedItems count="0" containsBlank="1"/>
    </cacheField>
    <cacheField name="Dat file" uniqueList="1" numFmtId="0" sqlType="0" hierarchy="0" level="0" databaseField="1">
      <sharedItems count="0" containsBlank="1"/>
    </cacheField>
    <cacheField name="Imaged Duration" uniqueList="1" numFmtId="0" sqlType="0" hierarchy="0" level="0" databaseField="1">
      <sharedItems count="9" containsBlank="1" containsDate="1" containsNonDate="0" containsString="0" minDate="1899-12-30T00:14:00" maxDate="1899-12-30T00:29:00">
        <d v="1899-12-30T00:15:00"/>
        <d v="1899-12-30T00:16:00"/>
        <d v="1899-12-30T00:17:00"/>
        <d v="1899-12-30T00:17:11"/>
        <d v="1899-12-30T00:24:00"/>
        <d v="1899-12-30T00:29:00"/>
        <d v="1899-12-30T00:28:00"/>
        <d v="1899-12-30T00:14:00"/>
        <m/>
      </sharedItems>
    </cacheField>
    <cacheField name=".BAT  file duration" uniqueList="1" numFmtId="0" sqlType="0" hierarchy="0" level="0" databaseField="1">
      <sharedItems count="0" containsBlank="1" containsDate="1" containsNonDate="0" containsString="0" minDate="1899-12-30T00:02:00" maxDate="1899-12-30T00:04:00"/>
    </cacheField>
    <cacheField name="On-Premises Device" uniqueList="1" numFmtId="0" sqlType="0" hierarchy="0" level="0" databaseField="1">
      <sharedItems count="0" containsBlank="1"/>
    </cacheField>
    <cacheField name="Start time (Imaging)" uniqueList="1" numFmtId="0" sqlType="0" hierarchy="0" level="0" databaseField="1">
      <sharedItems count="11" containsBlank="1" containsDate="1" containsNonDate="0" containsString="0" minDate="1899-12-30T09:11:00" maxDate="1899-12-30T16:23:00">
        <d v="1899-12-30T13:48:00"/>
        <d v="1899-12-30T14:37:00"/>
        <d v="1899-12-30T09:11:00"/>
        <d v="1899-12-30T16:22:00"/>
        <d v="1899-12-30T09:45:00"/>
        <d v="1899-12-30T10:21:00"/>
        <d v="1899-12-30T14:38:00"/>
        <d v="1899-12-30T16:23:00"/>
        <d v="1899-12-30T09:12:00"/>
        <d v="1899-12-30T13:23:00"/>
        <m/>
      </sharedItems>
      <fieldGroup par="18"/>
    </cacheField>
    <cacheField name="End time (Imaging)" uniqueList="1" numFmtId="0" sqlType="0" hierarchy="0" level="0" databaseField="1">
      <sharedItems count="12" containsBlank="1" containsDate="1" containsNonDate="0" containsString="0" minDate="1899-12-30T09:28:00" maxDate="1899-12-30T16:51:00">
        <d v="1899-12-30T14:03:00"/>
        <d v="1899-12-30T14:53:00"/>
        <d v="1899-12-30T09:28:00"/>
        <d v="1899-12-30T16:38:00"/>
        <d v="1899-12-30T10:01:00"/>
        <d v="1899-12-30T10:38:11"/>
        <d v="1899-12-30T14:12:00"/>
        <d v="1899-12-30T15:07:00"/>
        <d v="1899-12-30T16:51:00"/>
        <d v="1899-12-30T09:36:00"/>
        <d v="1899-12-30T13:37:00"/>
        <m/>
      </sharedItems>
      <fieldGroup par="20"/>
    </cacheField>
    <cacheField name="Start time (.BAT)" uniqueList="1" numFmtId="0" sqlType="0" hierarchy="0" level="0" databaseField="1">
      <sharedItems count="0" containsBlank="1" containsDate="1" containsNonDate="0" containsString="0" minDate="1899-12-30T09:30:00" maxDate="1899-12-30T16:59:00"/>
    </cacheField>
    <cacheField name="End time (.BAT)" uniqueList="1" numFmtId="0" sqlType="0" hierarchy="0" level="0" databaseField="1">
      <sharedItems count="12" containsBlank="1" containsDate="1" containsNonDate="0" containsString="0" minDate="1899-12-30T09:34:00" maxDate="1899-12-30T17:03:00">
        <d v="1899-12-30T14:17:00"/>
        <d v="1899-12-30T15:02:00"/>
        <d v="1899-12-30T09:34:00"/>
        <d v="1899-12-30T16:47:00"/>
        <d v="1899-12-30T10:08:00"/>
        <d v="1899-12-30T10:41:00"/>
        <d v="1899-12-30T14:23:00"/>
        <d v="1899-12-30T15:19:00"/>
        <d v="1899-12-30T17:03:00"/>
        <d v="1899-12-30T09:49:00"/>
        <d v="1899-12-30T13:43:00"/>
        <m/>
      </sharedItems>
      <fieldGroup par="22"/>
    </cacheField>
    <cacheField name="Date" uniqueList="1" numFmtId="0" sqlType="0" hierarchy="0" level="0" databaseField="1">
      <sharedItems count="3" containsBlank="1" containsDate="1" containsNonDate="0" containsString="0" minDate="2026-03-23T00:00:00" maxDate="2026-03-25T00:00:00">
        <d v="2026-03-23T00:00:00"/>
        <d v="2026-03-24T00:00:00"/>
        <m/>
      </sharedItems>
    </cacheField>
    <cacheField name="Notes (optional" uniqueList="1" numFmtId="0" sqlType="0" hierarchy="0" level="0" databaseField="1">
      <sharedItems count="0" containsBlank="1"/>
    </cacheField>
    <cacheField name="Minutes (Start time (Imaging))" uniqueList="1" numFmtId="0" sqlType="0" hierarchy="0" level="0" databaseField="0">
      <fieldGroup base="11">
        <rangePr autoStart="1" autoEnd="1" groupBy="minutes" startDate="1899-12-30T09:11:00" endDate="1899-12-30T16:23:00" groupInterval="1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Hours (Start time (Imaging))" uniqueList="1" numFmtId="0" sqlType="0" hierarchy="0" level="0" databaseField="0">
      <fieldGroup base="11">
        <rangePr autoStart="1" autoEnd="1" groupBy="hours" startDate="1899-12-30T09:11:00" endDate="1899-12-30T16:23:00" groupInterval="1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  <cacheField name="Minutes (End time (Imaging))" uniqueList="1" numFmtId="0" sqlType="0" hierarchy="0" level="0" databaseField="0">
      <fieldGroup base="12">
        <rangePr autoStart="1" autoEnd="1" groupBy="minutes" startDate="1899-12-30T09:28:00" endDate="1899-12-30T16:51:00" groupInterval="1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Hours (End time (Imaging))" uniqueList="1" numFmtId="0" sqlType="0" hierarchy="0" level="0" databaseField="0">
      <fieldGroup base="12">
        <rangePr autoStart="1" autoEnd="1" groupBy="hours" startDate="1899-12-30T09:28:00" endDate="1899-12-30T16:51:00" groupInterval="1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  <cacheField name="Minutes (End time (.BAT))" uniqueList="1" numFmtId="0" sqlType="0" hierarchy="0" level="0" databaseField="0">
      <fieldGroup base="14">
        <rangePr autoStart="1" autoEnd="1" groupBy="minutes" startDate="1899-12-30T09:34:00" endDate="1899-12-30T17:03:00" groupInterval="1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Hours (End time (.BAT))" uniqueList="1" numFmtId="0" sqlType="0" hierarchy="0" level="0" databaseField="0">
      <fieldGroup base="14">
        <rangePr autoStart="1" autoEnd="1" groupBy="hours" startDate="1899-12-30T09:34:00" endDate="1899-12-30T17:03:00" groupInterval="1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Nguyen, Alexander" refreshedDate="46132.63010023148" createdVersion="8" refreshedVersion="8" minRefreshableVersion="3" recordCount="43" r:id="rId1">
  <cacheSource type="worksheet">
    <worksheetSource ref="A1:V44" sheet="All_Data"/>
  </cacheSource>
  <cacheFields count="24">
    <cacheField name="Site " uniqueList="1" numFmtId="0" sqlType="0" hierarchy="0" level="0" databaseField="1">
      <sharedItems count="0"/>
    </cacheField>
    <cacheField name="Store ID" uniqueList="1" numFmtId="0" sqlType="0" hierarchy="0" level="0" databaseField="1">
      <sharedItems count="0" containsInteger="1" containsMixedTypes="1" containsNumber="1" minValue="128" maxValue="3736"/>
    </cacheField>
    <cacheField name="Device Type" uniqueList="1" numFmtId="0" sqlType="0" hierarchy="0" level="0" databaseField="1">
      <sharedItems count="0"/>
    </cacheField>
    <cacheField name="Register #" uniqueList="1" numFmtId="0" sqlType="0" hierarchy="0" level="0" databaseField="1">
      <sharedItems count="0" containsInteger="1" containsMixedTypes="1" containsNumber="1" minValue="1" maxValue="18"/>
    </cacheField>
    <cacheField name="System Name" uniqueList="1" numFmtId="0" sqlType="0" hierarchy="0" level="0" databaseField="1">
      <sharedItems count="0"/>
    </cacheField>
    <cacheField name="Device Image #" uniqueList="1" numFmtId="0" sqlType="0" hierarchy="0" level="0" databaseField="1">
      <sharedItems count="0" containsInteger="1" containsNumber="1" containsSemiMixedTypes="0" containsString="0" minValue="7702" maxValue="7703"/>
    </cacheField>
    <cacheField name="Image" uniqueList="1" numFmtId="0" sqlType="0" hierarchy="0" level="0" databaseField="1">
      <sharedItems count="4">
        <s v="SCO-7702"/>
        <s v="POS-7703"/>
        <s v="POS-7702"/>
        <s v="SCO-7703"/>
      </sharedItems>
    </cacheField>
    <cacheField name="Dat file" uniqueList="1" numFmtId="0" sqlType="0" hierarchy="0" level="0" databaseField="1">
      <sharedItems count="0"/>
    </cacheField>
    <cacheField name="Imaged Duration" uniqueList="1" numFmtId="20" sqlType="0" hierarchy="0" level="0" databaseField="1">
      <sharedItems count="22" containsDate="1" containsNonDate="0" containsSemiMixedTypes="0" containsString="0" minDate="1899-12-30T00:13:00" maxDate="1899-12-30T01:00:00">
        <d v="1899-12-30T00:15:00"/>
        <d v="1899-12-30T00:16:00"/>
        <d v="1899-12-30T00:17:00"/>
        <d v="1899-12-30T00:17:11"/>
        <d v="1899-12-30T00:24:00"/>
        <d v="1899-12-30T00:29:00"/>
        <d v="1899-12-30T00:28:00"/>
        <d v="1899-12-30T00:14:00"/>
        <d v="1899-12-30T00:20:00"/>
        <d v="1899-12-30T00:18:00"/>
        <d v="1899-12-30T00:44:00"/>
        <d v="1899-12-30T00:45:00"/>
        <d v="1899-12-30T00:25:00"/>
        <d v="1899-12-30T00:53:00"/>
        <d v="1899-12-30T01:00:00"/>
        <d v="1899-12-30T00:26:00"/>
        <d v="1899-12-30T00:22:00"/>
        <d v="1899-12-30T00:19:00"/>
        <d v="1899-12-30T00:27:00"/>
        <d v="1899-12-30T00:32:00"/>
        <d v="1899-12-30T00:13:00"/>
        <d v="1899-12-30T00:23:00"/>
      </sharedItems>
      <fieldGroup par="23"/>
    </cacheField>
    <cacheField name=".BAT  file duration" uniqueList="1" numFmtId="20" sqlType="0" hierarchy="0" level="0" databaseField="1">
      <sharedItems count="0" containsDate="1" containsMixedTypes="1" minDate="1899-12-30T00:02:00" maxDate="1899-12-30T00:07:00"/>
    </cacheField>
    <cacheField name="RAM" uniqueList="1" numFmtId="0" sqlType="0" hierarchy="0" level="0" databaseField="1">
      <sharedItems count="0"/>
    </cacheField>
    <cacheField name="Processor Cores" uniqueList="1" numFmtId="0" sqlType="0" hierarchy="0" level="0" databaseField="1">
      <sharedItems count="0" containsInteger="1" containsNumber="1" containsSemiMixedTypes="0" containsString="0" minValue="2" maxValue="4"/>
    </cacheField>
    <cacheField name="Start time (Imaging)" uniqueList="1" numFmtId="18" sqlType="0" hierarchy="0" level="0" databaseField="1">
      <sharedItems count="0" containsDate="1" containsNonDate="0" containsSemiMixedTypes="0" containsString="0" minDate="1899-12-30T09:11:00" maxDate="1899-12-30T16:23:00"/>
    </cacheField>
    <cacheField name="End time (Imaging)" uniqueList="1" numFmtId="18" sqlType="0" hierarchy="0" level="0" databaseField="1">
      <sharedItems count="0" containsDate="1" containsNonDate="0" containsSemiMixedTypes="0" containsString="0" minDate="1899-12-30T09:28:00" maxDate="1899-12-30T16:51:00"/>
    </cacheField>
    <cacheField name="Start time (.BAT)" uniqueList="1" numFmtId="0" sqlType="0" hierarchy="0" level="0" databaseField="1">
      <sharedItems count="0" containsDate="1" containsMixedTypes="1" minDate="1899-12-30T09:30:00" maxDate="1899-12-30T16:59:00"/>
    </cacheField>
    <cacheField name="End time (.BAT)" uniqueList="1" numFmtId="0" sqlType="0" hierarchy="0" level="0" databaseField="1">
      <sharedItems count="0" containsDate="1" containsMixedTypes="1" minDate="1899-12-30T09:34:00" maxDate="1899-12-30T17:03:00"/>
    </cacheField>
    <cacheField name="Date" uniqueList="1" numFmtId="14" sqlType="0" hierarchy="0" level="0" databaseField="1">
      <sharedItems count="11" containsDate="1" containsNonDate="0" containsSemiMixedTypes="0" containsString="0" minDate="2026-03-23T00:00:00" maxDate="2026-04-21T00:00:00">
        <d v="2026-03-23T00:00:00"/>
        <d v="2026-03-24T00:00:00"/>
        <d v="2026-03-26T00:00:00"/>
        <d v="2026-03-30T00:00:00"/>
        <d v="2026-03-31T00:00:00"/>
        <d v="2026-04-02T00:00:00"/>
        <d v="2026-04-07T00:00:00"/>
        <d v="2026-04-09T00:00:00"/>
        <d v="2026-04-13T00:00:00"/>
        <d v="2026-04-16T00:00:00"/>
        <d v="2026-04-20T00:00:00"/>
      </sharedItems>
    </cacheField>
    <cacheField name="Notes (optional)" uniqueList="1" numFmtId="0" sqlType="0" hierarchy="0" level="0" databaseField="1">
      <sharedItems count="0" containsBlank="1"/>
    </cacheField>
    <cacheField name="Process Type" uniqueList="1" numFmtId="0" sqlType="0" hierarchy="0" level="0" databaseField="1">
      <sharedItems count="2">
        <s v="Production Imaging"/>
        <s v="Reimage/Lab Support"/>
      </sharedItems>
    </cacheField>
    <cacheField name="RAM Bucket" uniqueList="1" numFmtId="0" sqlType="0" hierarchy="0" level="0" databaseField="1">
      <sharedItems count="3">
        <s v="12"/>
        <s v="16+"/>
        <s v="4"/>
      </sharedItems>
    </cacheField>
    <cacheField name="CPU Core Bucket" uniqueList="1" numFmtId="0" sqlType="0" hierarchy="0" level="0" databaseField="1">
      <sharedItems count="1">
        <s v="≤4"/>
      </sharedItems>
    </cacheField>
    <cacheField name="RAM_GB_Numeric" uniqueList="1" numFmtId="0" sqlType="0" hierarchy="0" level="0" databaseField="1">
      <sharedItems count="0" containsInteger="1" containsNumber="1" containsSemiMixedTypes="0" containsString="0" minValue="4" maxValue="16"/>
    </cacheField>
    <cacheField name="Minutes (Imaged Duration)" uniqueList="1" numFmtId="0" sqlType="0" hierarchy="0" level="0" databaseField="0">
      <fieldGroup base="8">
        <rangePr autoStart="1" autoEnd="1" groupBy="minutes" startDate="1899-12-30T00:13:00" endDate="1899-12-30T01:00:00" groupInterval="1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Hours (Imaged Duration)" uniqueList="1" numFmtId="0" sqlType="0" hierarchy="0" level="0" databaseField="0">
      <fieldGroup base="8">
        <rangePr autoStart="1" autoEnd="1" groupBy="hours" startDate="1899-12-30T00:13:00" endDate="1899-12-30T01:00:00" groupInterval="1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count="12">
  <r>
    <s v="FORT BRAGG NORTH"/>
    <n v="2906"/>
    <s v="SCO"/>
    <n v="6"/>
    <s v="B77EECCAY725006"/>
    <n v="7702"/>
    <s v="SCO-7702"/>
    <s v="SCO.DAT"/>
    <x v="0"/>
    <d v="1899-12-30T00:03:00"/>
    <s v="7702 12 GB RAM"/>
    <x v="0"/>
    <x v="0"/>
    <d v="1899-12-30T14:14:00"/>
    <x v="0"/>
    <x v="0"/>
    <m/>
  </r>
  <r>
    <s v="McCHORD AFB"/>
    <n v="1235"/>
    <s v="SCO"/>
    <n v="5"/>
    <s v="B77PPCWGR725005"/>
    <n v="7702"/>
    <s v="SCO-7702"/>
    <s v="SCO.DAT"/>
    <x v="1"/>
    <d v="1899-12-30T00:03:00"/>
    <s v="7702 12 GB RAM"/>
    <x v="1"/>
    <x v="1"/>
    <d v="1899-12-30T14:59:00"/>
    <x v="1"/>
    <x v="0"/>
    <m/>
  </r>
  <r>
    <s v="FORT BELVOIR"/>
    <n v="2413"/>
    <s v="SCO"/>
    <n v="4"/>
    <s v="B77EECNFF725004"/>
    <n v="7702"/>
    <s v="SCO-7702"/>
    <s v="SCO.DAT"/>
    <x v="2"/>
    <d v="1899-12-30T00:04:00"/>
    <s v="7702 12 GB RAM"/>
    <x v="2"/>
    <x v="2"/>
    <d v="1899-12-30T09:30:00"/>
    <x v="2"/>
    <x v="1"/>
    <m/>
  </r>
  <r>
    <s v="DOVER AFB"/>
    <n v="2412"/>
    <s v="SCO"/>
    <n v="3"/>
    <s v="B77EECNEG725003"/>
    <n v="7702"/>
    <s v="SCO-7702"/>
    <s v="SCO.DAT"/>
    <x v="1"/>
    <d v="1899-12-30T00:03:00"/>
    <s v="7702 12 GB RAM"/>
    <x v="3"/>
    <x v="3"/>
    <d v="1899-12-30T16:44:00"/>
    <x v="3"/>
    <x v="0"/>
    <m/>
  </r>
  <r>
    <s v="DYESS AFB"/>
    <n v="805"/>
    <s v="SCO"/>
    <n v="2"/>
    <s v="B77PPCMCZ725002"/>
    <n v="7702"/>
    <s v="SCO-7702"/>
    <s v="SCO.DAT"/>
    <x v="1"/>
    <d v="1899-12-30T00:03:00"/>
    <s v="7702 12 GB RAM"/>
    <x v="4"/>
    <x v="4"/>
    <d v="1899-12-30T10:05:00"/>
    <x v="4"/>
    <x v="1"/>
    <m/>
  </r>
  <r>
    <s v="JACKSONVILLE NAS"/>
    <n v="427"/>
    <s v="SCO"/>
    <n v="3"/>
    <s v="B77EECSJL725003"/>
    <n v="7702"/>
    <s v="SCO-7702"/>
    <s v="SCO.DAT"/>
    <x v="3"/>
    <d v="1899-12-30T00:03:00"/>
    <s v="7702 12 GB RAM"/>
    <x v="5"/>
    <x v="5"/>
    <d v="1899-12-30T10:38:00"/>
    <x v="5"/>
    <x v="1"/>
    <m/>
  </r>
  <r>
    <s v="FORT CARSON"/>
    <n v="910"/>
    <s v="In LANE"/>
    <n v="2"/>
    <s v="B77PPCMCA563002"/>
    <n v="7703"/>
    <s v="POS-7703"/>
    <s v="POS.DAT"/>
    <x v="4"/>
    <d v="1899-12-30T00:03:00"/>
    <s v="7703 16 GB RAM"/>
    <x v="0"/>
    <x v="6"/>
    <d v="1899-12-30T14:20:00"/>
    <x v="6"/>
    <x v="0"/>
    <s v="Boot configuration must be verified prior to imaging; otherwise the system may display a ‘no boot/image’ black screen on startup."/>
  </r>
  <r>
    <s v="WHITEMAN AFB"/>
    <n v="2629"/>
    <s v="In LANE"/>
    <n v="3"/>
    <s v="B77EECCAX563003"/>
    <n v="7702"/>
    <s v="POS-7702"/>
    <s v="POS.DAT"/>
    <x v="5"/>
    <d v="1899-12-30T00:04:00"/>
    <s v="7702 4 GB RAM"/>
    <x v="6"/>
    <x v="7"/>
    <d v="1899-12-30T15:15:00"/>
    <x v="7"/>
    <x v="0"/>
    <m/>
  </r>
  <r>
    <s v="ANDREWS AFB"/>
    <n v="2402"/>
    <s v="In LANE"/>
    <n v="18"/>
    <s v="B77EECNEK563018"/>
    <n v="7702"/>
    <s v="POS-7702"/>
    <s v="POS.DAT"/>
    <x v="6"/>
    <d v="1899-12-30T00:04:00"/>
    <s v="7702 4 GB RAM"/>
    <x v="7"/>
    <x v="8"/>
    <d v="1899-12-30T16:59:00"/>
    <x v="8"/>
    <x v="0"/>
    <m/>
  </r>
  <r>
    <s v="FORT CARSON"/>
    <n v="910"/>
    <s v="In LANE"/>
    <n v="3"/>
    <s v="B77PPCMCA563003"/>
    <n v="7703"/>
    <s v="POS-7703"/>
    <s v="POS.DAT"/>
    <x v="4"/>
    <d v="1899-12-30T00:02:00"/>
    <s v="7703 16 GB RAM"/>
    <x v="8"/>
    <x v="9"/>
    <d v="1899-12-30T09:47:00"/>
    <x v="9"/>
    <x v="1"/>
    <m/>
  </r>
  <r>
    <s v="FORT BENNING"/>
    <n v="212"/>
    <s v="SCO"/>
    <n v="5"/>
    <s v="B77EECSJW725005"/>
    <n v="7702"/>
    <s v="SCO-7702"/>
    <s v="SCO.DAT"/>
    <x v="7"/>
    <d v="1899-12-30T00:03:00"/>
    <s v="7702 12 GB RAM"/>
    <x v="9"/>
    <x v="10"/>
    <d v="1899-12-30T13:40:00"/>
    <x v="10"/>
    <x v="1"/>
    <m/>
  </r>
  <r>
    <m/>
    <m/>
    <m/>
    <m/>
    <m/>
    <m/>
    <m/>
    <m/>
    <x v="8"/>
    <m/>
    <m/>
    <x v="10"/>
    <x v="11"/>
    <m/>
    <x v="11"/>
    <x v="2"/>
    <m/>
  </r>
</pivotCacheRecords>
</file>

<file path=xl/pivotCache/pivotCacheRecords2.xml><?xml version="1.0" encoding="utf-8"?>
<pivotCacheRecords xmlns="http://schemas.openxmlformats.org/spreadsheetml/2006/main" count="43">
  <r>
    <s v="FORT BRAGG NORTH"/>
    <n v="2906"/>
    <s v="SCO"/>
    <n v="6"/>
    <s v="B77EECCAY725006"/>
    <n v="7702"/>
    <x v="0"/>
    <s v="SCO.DAT"/>
    <x v="0"/>
    <d v="1899-12-30T00:03:00"/>
    <s v="12 GB"/>
    <n v="4"/>
    <d v="1899-12-30T13:48:00"/>
    <d v="1899-12-30T14:03:00"/>
    <d v="1899-12-30T14:14:00"/>
    <d v="1899-12-30T14:17:00"/>
    <x v="0"/>
    <m/>
    <x v="0"/>
    <x v="0"/>
    <x v="0"/>
    <n v="12"/>
  </r>
  <r>
    <s v="McCHORD AFB"/>
    <n v="1235"/>
    <s v="SCO"/>
    <n v="5"/>
    <s v="B77PPCWGR725005"/>
    <n v="7702"/>
    <x v="0"/>
    <s v="SCO.DAT"/>
    <x v="1"/>
    <d v="1899-12-30T00:03:00"/>
    <s v="12 GB"/>
    <n v="4"/>
    <d v="1899-12-30T14:37:00"/>
    <d v="1899-12-30T14:53:00"/>
    <d v="1899-12-30T14:59:00"/>
    <d v="1899-12-30T15:02:00"/>
    <x v="0"/>
    <m/>
    <x v="0"/>
    <x v="0"/>
    <x v="0"/>
    <n v="12"/>
  </r>
  <r>
    <s v="FORT BELVOIR"/>
    <n v="2413"/>
    <s v="SCO"/>
    <n v="4"/>
    <s v="B77EECNFF725004"/>
    <n v="7702"/>
    <x v="0"/>
    <s v="SCO.DAT"/>
    <x v="2"/>
    <d v="1899-12-30T00:04:00"/>
    <s v="12 GB"/>
    <n v="4"/>
    <d v="1899-12-30T09:11:00"/>
    <d v="1899-12-30T09:28:00"/>
    <d v="1899-12-30T09:30:00"/>
    <d v="1899-12-30T09:34:00"/>
    <x v="1"/>
    <m/>
    <x v="0"/>
    <x v="0"/>
    <x v="0"/>
    <n v="12"/>
  </r>
  <r>
    <s v="DOVER AFB"/>
    <n v="2412"/>
    <s v="SCO"/>
    <n v="3"/>
    <s v="B77EECNEG725003"/>
    <n v="7702"/>
    <x v="0"/>
    <s v="SCO.DAT"/>
    <x v="1"/>
    <d v="1899-12-30T00:03:00"/>
    <s v="12 GB"/>
    <n v="4"/>
    <d v="1899-12-30T16:22:00"/>
    <d v="1899-12-30T16:38:00"/>
    <d v="1899-12-30T16:44:00"/>
    <d v="1899-12-30T16:47:00"/>
    <x v="0"/>
    <m/>
    <x v="0"/>
    <x v="0"/>
    <x v="0"/>
    <n v="12"/>
  </r>
  <r>
    <s v="DYESS AFB"/>
    <n v="805"/>
    <s v="SCO"/>
    <n v="2"/>
    <s v="B77PPCMCZ725002"/>
    <n v="7702"/>
    <x v="0"/>
    <s v="SCO.DAT"/>
    <x v="1"/>
    <d v="1899-12-30T00:03:00"/>
    <s v="12 GB"/>
    <n v="4"/>
    <d v="1899-12-30T09:45:00"/>
    <d v="1899-12-30T10:01:00"/>
    <d v="1899-12-30T10:05:00"/>
    <d v="1899-12-30T10:08:00"/>
    <x v="1"/>
    <m/>
    <x v="0"/>
    <x v="0"/>
    <x v="0"/>
    <n v="12"/>
  </r>
  <r>
    <s v="JACKSONVILLE NAS"/>
    <n v="427"/>
    <s v="SCO"/>
    <n v="3"/>
    <s v="B77EECSJL725003"/>
    <n v="7702"/>
    <x v="0"/>
    <s v="SCO.DAT"/>
    <x v="3"/>
    <d v="1899-12-30T00:03:00"/>
    <s v="12 GB"/>
    <n v="4"/>
    <d v="1899-12-30T10:21:00"/>
    <d v="1899-12-30T10:38:11"/>
    <d v="1899-12-30T10:38:00"/>
    <d v="1899-12-30T10:41:00"/>
    <x v="1"/>
    <m/>
    <x v="0"/>
    <x v="0"/>
    <x v="0"/>
    <n v="12"/>
  </r>
  <r>
    <s v="FORT CARSON"/>
    <n v="910"/>
    <s v="In LANE"/>
    <n v="2"/>
    <s v="B77PPCMCA563002"/>
    <n v="7703"/>
    <x v="1"/>
    <s v="POS.DAT"/>
    <x v="4"/>
    <d v="1899-12-30T00:03:00"/>
    <s v="16 GB"/>
    <n v="2"/>
    <d v="1899-12-30T13:48:00"/>
    <d v="1899-12-30T14:12:00"/>
    <d v="1899-12-30T14:20:00"/>
    <d v="1899-12-30T14:23:00"/>
    <x v="0"/>
    <s v="Boot configuration must be verified prior to imaging; otherwise the system may display a ‘no boot/image’ black screen on startup."/>
    <x v="0"/>
    <x v="1"/>
    <x v="0"/>
    <n v="16"/>
  </r>
  <r>
    <s v="WHITEMAN AFB"/>
    <n v="2629"/>
    <s v="In LANE"/>
    <n v="3"/>
    <s v="B77EECCAX563003"/>
    <n v="7702"/>
    <x v="2"/>
    <s v="POS.DAT"/>
    <x v="5"/>
    <d v="1899-12-30T00:04:00"/>
    <s v="4 GB"/>
    <n v="2"/>
    <d v="1899-12-30T14:38:00"/>
    <d v="1899-12-30T15:07:00"/>
    <d v="1899-12-30T15:15:00"/>
    <d v="1899-12-30T15:19:00"/>
    <x v="0"/>
    <m/>
    <x v="0"/>
    <x v="2"/>
    <x v="0"/>
    <n v="4"/>
  </r>
  <r>
    <s v="ANDREWS AFB"/>
    <n v="2402"/>
    <s v="In LANE"/>
    <n v="18"/>
    <s v="B77EECNEK563018"/>
    <n v="7702"/>
    <x v="2"/>
    <s v="POS.DAT"/>
    <x v="6"/>
    <d v="1899-12-30T00:04:00"/>
    <s v="4 GB"/>
    <n v="2"/>
    <d v="1899-12-30T16:23:00"/>
    <d v="1899-12-30T16:51:00"/>
    <d v="1899-12-30T16:59:00"/>
    <d v="1899-12-30T17:03:00"/>
    <x v="0"/>
    <m/>
    <x v="0"/>
    <x v="2"/>
    <x v="0"/>
    <n v="4"/>
  </r>
  <r>
    <s v="FORT CARSON"/>
    <n v="910"/>
    <s v="In LANE"/>
    <n v="3"/>
    <s v="B77PPCMCA563003"/>
    <n v="7703"/>
    <x v="1"/>
    <s v="POS.DAT"/>
    <x v="4"/>
    <d v="1899-12-30T00:02:00"/>
    <s v="16 GB"/>
    <n v="2"/>
    <d v="1899-12-30T09:12:00"/>
    <d v="1899-12-30T09:36:00"/>
    <d v="1899-12-30T09:47:00"/>
    <d v="1899-12-30T09:49:00"/>
    <x v="1"/>
    <m/>
    <x v="0"/>
    <x v="1"/>
    <x v="0"/>
    <n v="16"/>
  </r>
  <r>
    <s v="FORT BENNING"/>
    <n v="212"/>
    <s v="SCO"/>
    <n v="5"/>
    <s v="B77EECSJW725005"/>
    <n v="7702"/>
    <x v="0"/>
    <s v="SCO.DAT"/>
    <x v="7"/>
    <d v="1899-12-30T00:03:00"/>
    <s v="12 GB"/>
    <n v="4"/>
    <d v="1899-12-30T13:23:00"/>
    <d v="1899-12-30T13:37:00"/>
    <d v="1899-12-30T13:40:00"/>
    <d v="1899-12-30T13:43:00"/>
    <x v="1"/>
    <m/>
    <x v="0"/>
    <x v="0"/>
    <x v="0"/>
    <n v="12"/>
  </r>
  <r>
    <s v="N/A"/>
    <s v="N/A"/>
    <s v="POS"/>
    <s v="N/A"/>
    <s v="N/A"/>
    <n v="7702"/>
    <x v="2"/>
    <s v="POS.DAT"/>
    <x v="8"/>
    <s v="N/A"/>
    <s v="12 GB"/>
    <n v="4"/>
    <d v="1899-12-30T12:58:00"/>
    <d v="1899-12-30T13:18:00"/>
    <s v="N/A"/>
    <s v="N/A"/>
    <x v="2"/>
    <s v="Drive partition deleted and reimaged with POS 7702 "/>
    <x v="1"/>
    <x v="0"/>
    <x v="0"/>
    <n v="12"/>
  </r>
  <r>
    <s v="KEESLER AFB"/>
    <n v="128"/>
    <s v="In LANE"/>
    <n v="6"/>
    <s v="B77EECSKG563006"/>
    <n v="7702"/>
    <x v="2"/>
    <s v="POS.DAT"/>
    <x v="9"/>
    <d v="1899-12-30T00:02:00"/>
    <s v="12 GB"/>
    <n v="4"/>
    <d v="1899-12-30T13:54:00"/>
    <d v="1899-12-30T14:12:00"/>
    <d v="1899-12-30T14:20:00"/>
    <d v="1899-12-30T14:22:00"/>
    <x v="3"/>
    <m/>
    <x v="0"/>
    <x v="0"/>
    <x v="0"/>
    <n v="12"/>
  </r>
  <r>
    <s v="MERIDIAN NAS"/>
    <n v="135"/>
    <s v="SCO attendant"/>
    <n v="1"/>
    <s v="B77EECSKH724001"/>
    <n v="7702"/>
    <x v="2"/>
    <s v="SAL.DAT"/>
    <x v="8"/>
    <d v="1899-12-30T00:03:00"/>
    <s v="12 GB"/>
    <n v="4"/>
    <d v="1899-12-30T15:07:00"/>
    <d v="1899-12-30T15:27:00"/>
    <d v="1899-12-30T15:29:00"/>
    <d v="1899-12-30T15:32:00"/>
    <x v="3"/>
    <m/>
    <x v="0"/>
    <x v="0"/>
    <x v="0"/>
    <n v="12"/>
  </r>
  <r>
    <s v="McCHORD AFB"/>
    <n v="1235"/>
    <s v="SCO"/>
    <n v="5"/>
    <s v="B77PPCWGR725005"/>
    <n v="7703"/>
    <x v="3"/>
    <s v="SCO.DAT"/>
    <x v="10"/>
    <d v="1899-12-30T00:03:00"/>
    <s v="16 GB"/>
    <n v="2"/>
    <d v="1899-12-30T12:01:00"/>
    <d v="1899-12-30T12:45:00"/>
    <d v="1899-12-30T12:48:00"/>
    <d v="1899-12-30T12:51:00"/>
    <x v="4"/>
    <m/>
    <x v="0"/>
    <x v="1"/>
    <x v="0"/>
    <n v="16"/>
  </r>
  <r>
    <s v="FORT BELVOIR"/>
    <n v="2413"/>
    <s v="SCO"/>
    <n v="8"/>
    <s v="B77EECNFF725006"/>
    <n v="7702"/>
    <x v="0"/>
    <s v="SCO.DAT"/>
    <x v="11"/>
    <d v="1899-12-30T00:07:00"/>
    <s v="4 GB"/>
    <n v="2"/>
    <d v="1899-12-30T15:06:00"/>
    <d v="1899-12-30T15:51:00"/>
    <d v="1899-12-30T15:58:00"/>
    <d v="1899-12-30T16:05:00"/>
    <x v="3"/>
    <m/>
    <x v="0"/>
    <x v="2"/>
    <x v="0"/>
    <n v="4"/>
  </r>
  <r>
    <s v="FORT BELVOIR"/>
    <n v="2413"/>
    <s v="SCO"/>
    <n v="6"/>
    <s v="B77EECNFF725008"/>
    <n v="7702"/>
    <x v="0"/>
    <s v="SCO.DAT"/>
    <x v="1"/>
    <d v="1899-12-30T00:03:00"/>
    <s v="12 GB"/>
    <n v="4"/>
    <d v="1899-12-30T16:11:00"/>
    <d v="1899-12-30T16:27:00"/>
    <d v="1899-12-30T16:29:00"/>
    <d v="1899-12-30T16:32:00"/>
    <x v="3"/>
    <m/>
    <x v="0"/>
    <x v="0"/>
    <x v="0"/>
    <n v="12"/>
  </r>
  <r>
    <s v="FORT CAMPBELL"/>
    <n v="2707"/>
    <s v="SCO"/>
    <n v="6"/>
    <s v="B77EECCAM725006"/>
    <n v="7702"/>
    <x v="0"/>
    <s v="SCO.DAT"/>
    <x v="12"/>
    <d v="1899-12-30T00:05:00"/>
    <s v="4 GB"/>
    <n v="2"/>
    <d v="1899-12-30T13:59:00"/>
    <d v="1899-12-30T14:24:00"/>
    <d v="1899-12-30T14:35:00"/>
    <d v="1899-12-30T14:40:00"/>
    <x v="3"/>
    <m/>
    <x v="0"/>
    <x v="2"/>
    <x v="0"/>
    <n v="4"/>
  </r>
  <r>
    <s v="N/A"/>
    <s v="N/A"/>
    <s v="SCO"/>
    <s v="N/A"/>
    <s v="N/A"/>
    <n v="7703"/>
    <x v="3"/>
    <s v="SCO.DAT"/>
    <x v="13"/>
    <s v="N/A"/>
    <s v="16 GB"/>
    <n v="4"/>
    <d v="1899-12-30T09:27:00"/>
    <d v="1899-12-30T10:20:00"/>
    <s v="N/A"/>
    <s v="N/A"/>
    <x v="5"/>
    <s v="Reimaging for GIL lab testing"/>
    <x v="1"/>
    <x v="1"/>
    <x v="0"/>
    <n v="16"/>
  </r>
  <r>
    <s v="ELLSWORTH AFB"/>
    <n v="1006"/>
    <s v="SCO"/>
    <n v="1"/>
    <s v="B77PPCMDB725001"/>
    <n v="7703"/>
    <x v="3"/>
    <s v="SCO.DAT"/>
    <x v="10"/>
    <d v="1899-12-30T00:04:00"/>
    <s v="16 GB"/>
    <n v="2"/>
    <d v="1899-12-30T13:49:00"/>
    <d v="1899-12-30T14:33:00"/>
    <d v="1899-12-30T14:37:00"/>
    <d v="1899-12-30T14:41:00"/>
    <x v="5"/>
    <s v="Requires manual bootup "/>
    <x v="0"/>
    <x v="1"/>
    <x v="0"/>
    <n v="16"/>
  </r>
  <r>
    <s v="WHITING FIELD NAS"/>
    <n v="547"/>
    <s v="SCO"/>
    <n v="2"/>
    <s v="B77EECSJS725002"/>
    <n v="7702"/>
    <x v="0"/>
    <s v="SCO.DAT"/>
    <x v="9"/>
    <d v="1899-12-30T00:03:00"/>
    <s v="12 GB"/>
    <n v="4"/>
    <d v="1899-12-30T09:41:00"/>
    <d v="1899-12-30T09:59:00"/>
    <d v="1899-12-30T11:10:00"/>
    <d v="1899-12-30T11:13:00"/>
    <x v="5"/>
    <m/>
    <x v="0"/>
    <x v="0"/>
    <x v="0"/>
    <n v="12"/>
  </r>
  <r>
    <s v="BUCKLEY AFB"/>
    <n v="933"/>
    <s v="SCO"/>
    <n v="2"/>
    <s v="B77PPCMCB725002"/>
    <n v="7703"/>
    <x v="3"/>
    <s v="SCO.DAT"/>
    <x v="10"/>
    <d v="1899-12-30T00:04:00"/>
    <s v="16 GB"/>
    <n v="2"/>
    <d v="1899-12-30T12:43:00"/>
    <d v="1899-12-30T13:27:00"/>
    <d v="1899-12-30T13:32:00"/>
    <d v="1899-12-30T13:36:00"/>
    <x v="5"/>
    <m/>
    <x v="0"/>
    <x v="1"/>
    <x v="0"/>
    <n v="16"/>
  </r>
  <r>
    <s v="N/A"/>
    <s v="N/A"/>
    <s v="SCO"/>
    <s v="N/A"/>
    <s v="N/A"/>
    <n v="7703"/>
    <x v="3"/>
    <s v="SCO.DAT"/>
    <x v="14"/>
    <s v="N/A"/>
    <s v="16 GB"/>
    <n v="4"/>
    <d v="1899-12-30T11:00:00"/>
    <d v="1899-12-30T12:00:00"/>
    <s v="N/A"/>
    <s v="N/A"/>
    <x v="5"/>
    <s v="Reimaged for GIL lab testing "/>
    <x v="1"/>
    <x v="1"/>
    <x v="0"/>
    <n v="16"/>
  </r>
  <r>
    <s v="JACKSONVILLE NAS"/>
    <n v="427"/>
    <s v="In LANE"/>
    <n v="7"/>
    <s v="B77EECSJL563007"/>
    <n v="7702"/>
    <x v="2"/>
    <s v="SAL.DAT"/>
    <x v="15"/>
    <d v="1899-12-30T00:03:00"/>
    <s v="12 GB"/>
    <n v="4"/>
    <d v="1899-12-30T13:23:00"/>
    <d v="1899-12-30T13:49:00"/>
    <d v="1899-12-30T13:57:00"/>
    <d v="1899-12-30T14:00:00"/>
    <x v="5"/>
    <m/>
    <x v="0"/>
    <x v="0"/>
    <x v="0"/>
    <n v="12"/>
  </r>
  <r>
    <s v="McCHORD AFB"/>
    <n v="1235"/>
    <s v="In LANE"/>
    <n v="14"/>
    <s v="B77PPCWGR563014"/>
    <n v="7703"/>
    <x v="1"/>
    <s v="POS.DAT"/>
    <x v="16"/>
    <d v="1899-12-30T00:02:00"/>
    <s v="16 GB"/>
    <n v="2"/>
    <d v="1899-12-30T15:28:00"/>
    <d v="1899-12-30T15:50:00"/>
    <d v="1899-12-30T16:01:00"/>
    <d v="1899-12-30T16:03:00"/>
    <x v="5"/>
    <m/>
    <x v="0"/>
    <x v="1"/>
    <x v="0"/>
    <n v="16"/>
  </r>
  <r>
    <s v="TYNDALL AFB"/>
    <n v="546"/>
    <s v="In LANE"/>
    <n v="4"/>
    <s v="B77EECSJR563004"/>
    <n v="7702"/>
    <x v="2"/>
    <s v="SAL.DAT"/>
    <x v="17"/>
    <d v="1899-12-30T00:02:00"/>
    <s v="12 GB"/>
    <n v="4"/>
    <d v="1899-12-30T15:01:00"/>
    <d v="1899-12-30T15:20:00"/>
    <d v="1899-12-30T15:23:00"/>
    <d v="1899-12-30T15:25:00"/>
    <x v="5"/>
    <m/>
    <x v="0"/>
    <x v="0"/>
    <x v="0"/>
    <n v="12"/>
  </r>
  <r>
    <s v="FORT MYER"/>
    <n v="2518"/>
    <s v="SCO"/>
    <n v="1"/>
    <s v="B77EECNFH725001"/>
    <n v="7702"/>
    <x v="0"/>
    <s v="SCO.DAT"/>
    <x v="18"/>
    <d v="1899-12-30T00:06:00"/>
    <s v="4 GB"/>
    <n v="2"/>
    <d v="1899-12-30T13:51:00"/>
    <d v="1899-12-30T14:18:00"/>
    <d v="1899-12-30T14:29:00"/>
    <d v="1899-12-30T14:35:00"/>
    <x v="5"/>
    <m/>
    <x v="0"/>
    <x v="2"/>
    <x v="0"/>
    <n v="4"/>
  </r>
  <r>
    <s v="N/A"/>
    <s v="N/A"/>
    <s v="POS"/>
    <s v="N/A"/>
    <s v="N/A"/>
    <n v="7702"/>
    <x v="2"/>
    <s v="POS.DAT"/>
    <x v="1"/>
    <s v="N/A"/>
    <s v="16 GB"/>
    <n v="4"/>
    <d v="1899-12-30T14:25:00"/>
    <d v="1899-12-30T14:41:00"/>
    <s v="N/A"/>
    <s v="N/A"/>
    <x v="5"/>
    <s v="Reimaged for GIL lab testing "/>
    <x v="1"/>
    <x v="1"/>
    <x v="0"/>
    <n v="16"/>
  </r>
  <r>
    <s v="FORT BELVOIR"/>
    <n v="2413"/>
    <s v="SCO"/>
    <n v="6"/>
    <s v="B77EECNFF725006"/>
    <n v="7702"/>
    <x v="0"/>
    <s v="SCO.DAT"/>
    <x v="1"/>
    <d v="1899-12-30T00:03:00"/>
    <s v="12 GB"/>
    <n v="4"/>
    <d v="1899-12-30T10:28:00"/>
    <d v="1899-12-30T10:44:00"/>
    <d v="1899-12-30T10:50:00"/>
    <d v="1899-12-30T10:53:00"/>
    <x v="6"/>
    <m/>
    <x v="0"/>
    <x v="0"/>
    <x v="0"/>
    <n v="12"/>
  </r>
  <r>
    <s v="ANDREWS AFB"/>
    <n v="2402"/>
    <s v="In LANE"/>
    <n v="16"/>
    <s v="B77EECNEK563016"/>
    <n v="7702"/>
    <x v="2"/>
    <s v="POS.DAT"/>
    <x v="19"/>
    <d v="1899-12-30T00:05:00"/>
    <s v="4 GB"/>
    <n v="2"/>
    <d v="1899-12-30T10:28:00"/>
    <d v="1899-12-30T11:00:00"/>
    <d v="1899-12-30T11:03:00"/>
    <d v="1899-12-30T11:08:00"/>
    <x v="6"/>
    <m/>
    <x v="0"/>
    <x v="2"/>
    <x v="0"/>
    <n v="4"/>
  </r>
  <r>
    <s v="MINOT AFB"/>
    <n v="1025"/>
    <s v="Wireless"/>
    <n v="2"/>
    <s v="B77PPCMCL973002"/>
    <n v="7702"/>
    <x v="2"/>
    <s v="POS.DAT"/>
    <x v="16"/>
    <d v="1899-12-30T00:03:00"/>
    <s v="12 GB"/>
    <n v="4"/>
    <d v="1899-12-30T13:04:00"/>
    <d v="1899-12-30T13:26:00"/>
    <d v="1899-12-30T13:32:00"/>
    <d v="1899-12-30T13:35:00"/>
    <x v="6"/>
    <m/>
    <x v="0"/>
    <x v="0"/>
    <x v="0"/>
    <n v="12"/>
  </r>
  <r>
    <s v="HUNTER AAF"/>
    <n v="325"/>
    <s v="In LANE"/>
    <n v="2"/>
    <s v="B77EECSJ3563002"/>
    <n v="7702"/>
    <x v="2"/>
    <s v="POS.DAT"/>
    <x v="8"/>
    <d v="1899-12-30T00:03:00"/>
    <s v="12 GB"/>
    <n v="4"/>
    <d v="1899-12-30T12:25:00"/>
    <d v="1899-12-30T12:45:00"/>
    <d v="1899-12-30T12:51:00"/>
    <d v="1899-12-30T12:54:00"/>
    <x v="6"/>
    <m/>
    <x v="0"/>
    <x v="0"/>
    <x v="0"/>
    <n v="12"/>
  </r>
  <r>
    <s v="FORT McCOY"/>
    <n v="2713"/>
    <s v="SCO"/>
    <n v="1"/>
    <s v="B77EECCAQ725001"/>
    <n v="7702"/>
    <x v="0"/>
    <s v="SCO.DAT"/>
    <x v="7"/>
    <d v="1899-12-30T00:03:00"/>
    <s v="12 GB"/>
    <n v="4"/>
    <d v="1899-12-30T11:03:00"/>
    <d v="1899-12-30T11:17:00"/>
    <d v="1899-12-30T11:25:00"/>
    <d v="1899-12-30T11:28:00"/>
    <x v="6"/>
    <m/>
    <x v="0"/>
    <x v="0"/>
    <x v="0"/>
    <n v="12"/>
  </r>
  <r>
    <s v="LITTLE ROCK AFB"/>
    <n v="2618"/>
    <s v="In LANE"/>
    <n v="2"/>
    <s v="B77EECCAC563002"/>
    <n v="7702"/>
    <x v="2"/>
    <s v="POS.DAT"/>
    <x v="8"/>
    <d v="1899-12-30T00:03:00"/>
    <s v="12 GB"/>
    <n v="4"/>
    <d v="1899-12-30T11:46:00"/>
    <d v="1899-12-30T12:06:00"/>
    <d v="1899-12-30T12:09:00"/>
    <d v="1899-12-30T12:12:00"/>
    <x v="6"/>
    <m/>
    <x v="0"/>
    <x v="0"/>
    <x v="0"/>
    <n v="12"/>
  </r>
  <r>
    <s v="N/A"/>
    <s v="N/A"/>
    <s v="POS"/>
    <s v="N/A"/>
    <s v="N/A"/>
    <n v="7702"/>
    <x v="2"/>
    <s v="POS.DAT"/>
    <x v="0"/>
    <s v="N/A"/>
    <s v="16 GB"/>
    <n v="4"/>
    <d v="1899-12-30T11:22:00"/>
    <d v="1899-12-30T11:37:00"/>
    <s v="N/A"/>
    <s v="N/A"/>
    <x v="6"/>
    <s v="Reimaged for GIL lab testing "/>
    <x v="1"/>
    <x v="1"/>
    <x v="0"/>
    <n v="16"/>
  </r>
  <r>
    <s v="SELFRIDGE ANG BASE"/>
    <n v="2727"/>
    <s v="SCO"/>
    <n v="2"/>
    <s v="B77EECCAS725002"/>
    <n v="7702"/>
    <x v="0"/>
    <s v="SCO.DAT"/>
    <x v="2"/>
    <d v="1899-12-30T00:03:00"/>
    <s v="12 GB"/>
    <n v="4"/>
    <d v="1899-12-30T12:29:00"/>
    <d v="1899-12-30T12:46:00"/>
    <d v="1899-12-30T12:49:00"/>
    <d v="1899-12-30T12:52:00"/>
    <x v="7"/>
    <m/>
    <x v="0"/>
    <x v="0"/>
    <x v="0"/>
    <n v="12"/>
  </r>
  <r>
    <s v="FOREST GLEN"/>
    <n v="2532"/>
    <s v="SCO"/>
    <n v="1"/>
    <s v="B77EECNEF725001"/>
    <n v="7702"/>
    <x v="0"/>
    <s v="SCO.DAT"/>
    <x v="20"/>
    <d v="1899-12-30T00:04:00"/>
    <s v="12 GB"/>
    <n v="4"/>
    <d v="1899-12-30T12:30:00"/>
    <d v="1899-12-30T12:43:00"/>
    <d v="1899-12-30T12:45:00"/>
    <d v="1899-12-30T12:49:00"/>
    <x v="8"/>
    <m/>
    <x v="0"/>
    <x v="0"/>
    <x v="0"/>
    <n v="12"/>
  </r>
  <r>
    <s v="McCHORD AFB"/>
    <n v="1235"/>
    <s v="SCO"/>
    <n v="5"/>
    <s v="B77PPCWGR725005"/>
    <n v="7703"/>
    <x v="3"/>
    <s v="SCO.DAT"/>
    <x v="10"/>
    <d v="1899-12-30T00:03:00"/>
    <s v="16 GB"/>
    <n v="2"/>
    <d v="1899-12-30T11:12:00"/>
    <d v="1899-12-30T11:56:00"/>
    <d v="1899-12-30T12:07:00"/>
    <d v="1899-12-30T12:10:00"/>
    <x v="9"/>
    <m/>
    <x v="0"/>
    <x v="1"/>
    <x v="0"/>
    <n v="16"/>
  </r>
  <r>
    <s v="LITTLE ROCK AFB"/>
    <n v="2618"/>
    <s v="In LANE"/>
    <n v="2"/>
    <s v="B77EECCAC563002"/>
    <n v="7702"/>
    <x v="2"/>
    <s v="POS.DAT"/>
    <x v="16"/>
    <d v="1899-12-30T00:03:00"/>
    <s v="12 GB"/>
    <n v="4"/>
    <d v="1899-12-30T13:24:00"/>
    <d v="1899-12-30T13:46:00"/>
    <d v="1899-12-30T13:49:00"/>
    <d v="1899-12-30T13:52:00"/>
    <x v="9"/>
    <m/>
    <x v="0"/>
    <x v="0"/>
    <x v="0"/>
    <n v="12"/>
  </r>
  <r>
    <s v="LIVORNO"/>
    <n v="3736"/>
    <s v="SCO Attendant Station"/>
    <n v="1"/>
    <s v="B77LLCE5J724001"/>
    <n v="7703"/>
    <x v="1"/>
    <s v="SCOA.DAT*"/>
    <x v="4"/>
    <d v="1899-12-30T00:03:00"/>
    <s v="16 GB"/>
    <n v="2"/>
    <d v="1899-12-30T13:56:00"/>
    <d v="1899-12-30T14:20:00"/>
    <d v="1899-12-30T14:30:00"/>
    <d v="1899-12-30T14:33:00"/>
    <x v="9"/>
    <m/>
    <x v="0"/>
    <x v="1"/>
    <x v="0"/>
    <n v="16"/>
  </r>
  <r>
    <s v="FORT MEADE"/>
    <n v="2517"/>
    <s v="In LANE"/>
    <n v="1"/>
    <s v="B77EECNEN563001"/>
    <n v="7702"/>
    <x v="2"/>
    <s v="POS.DAT"/>
    <x v="21"/>
    <d v="1899-12-30T00:03:00"/>
    <s v="16 GB"/>
    <n v="2"/>
    <d v="1899-12-30T14:32:00"/>
    <d v="1899-12-30T14:55:00"/>
    <d v="1899-12-30T15:00:00"/>
    <d v="1899-12-30T15:03:00"/>
    <x v="10"/>
    <m/>
    <x v="0"/>
    <x v="1"/>
    <x v="0"/>
    <n v="16"/>
  </r>
  <r>
    <s v="CAMP COURTNEY "/>
    <n v="3408"/>
    <s v="CSR"/>
    <n v="1"/>
    <s v="B77CCCWHM278001"/>
    <n v="7703"/>
    <x v="1"/>
    <s v="CSR.DAT"/>
    <x v="18"/>
    <d v="1899-12-30T00:03:00"/>
    <s v="16 GB"/>
    <n v="2"/>
    <d v="1899-12-30T13:47:00"/>
    <d v="1899-12-30T14:14:00"/>
    <d v="1899-12-30T14:24:00"/>
    <d v="1899-12-30T14:27:00"/>
    <x v="10"/>
    <m/>
    <x v="0"/>
    <x v="1"/>
    <x v="0"/>
    <n v="16"/>
  </r>
  <r>
    <s v="FORT BENNING"/>
    <n v="212"/>
    <s v="SCO"/>
    <n v="2"/>
    <s v="B77EECSJW725002"/>
    <n v="7702"/>
    <x v="0"/>
    <s v="SCO.DAT"/>
    <x v="0"/>
    <d v="1899-12-30T00:03:00"/>
    <s v="12 GB"/>
    <n v="4"/>
    <d v="1899-12-30T13:47:00"/>
    <d v="1899-12-30T14:02:00"/>
    <d v="1899-12-30T14:05:00"/>
    <d v="1899-12-30T14:08:00"/>
    <x v="10"/>
    <m/>
    <x v="0"/>
    <x v="0"/>
    <x v="0"/>
    <n v="12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2" cacheId="6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5" fieldListSortAscending="0" mdxSubqueries="0" applyNumberFormats="0" applyBorderFormats="0" applyFontFormats="0" applyPatternFormats="0" applyAlignmentFormats="0" applyWidthHeightFormats="1" r:id="rId1">
  <location ref="A14:B18" firstHeaderRow="1" firstDataRow="1" firstDataCol="1"/>
  <pivotFields count="23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12">
        <item t="data" sd="1" x="2"/>
        <item t="data" sd="1" x="8"/>
        <item t="data" sd="1" x="4"/>
        <item t="data" sd="1" x="5"/>
        <item t="data" sd="1" x="9"/>
        <item t="data" sd="1" x="0"/>
        <item t="data" sd="1" x="1"/>
        <item t="data" sd="1" x="6"/>
        <item t="data" sd="1" x="3"/>
        <item t="data" sd="1" x="7"/>
        <item t="data" sd="1" x="1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13">
        <item t="data" sd="1" x="2"/>
        <item t="data" sd="1" x="9"/>
        <item t="data" sd="1" x="4"/>
        <item t="data" sd="1" x="5"/>
        <item t="data" sd="1" x="10"/>
        <item t="data" sd="1" x="0"/>
        <item t="data" sd="1" x="6"/>
        <item t="data" sd="1" x="1"/>
        <item t="data" sd="1" x="7"/>
        <item t="data" sd="1" x="3"/>
        <item t="data" sd="1" x="8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13">
        <item t="data" sd="1" x="2"/>
        <item t="data" sd="1" x="9"/>
        <item t="data" sd="1" x="4"/>
        <item t="data" sd="1" x="5"/>
        <item t="data" sd="1" x="10"/>
        <item t="data" sd="1" x="0"/>
        <item t="data" sd="1" x="6"/>
        <item t="data" sd="1" x="1"/>
        <item t="data" sd="1" x="7"/>
        <item t="data" sd="1" x="3"/>
        <item t="data" sd="1" x="8"/>
        <item t="data" sd="1" x="11"/>
        <item t="default" sd="1"/>
      </items>
    </pivotField>
    <pivotField axis="axisRow" dataField="1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n="3/26/2026"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63">
        <item t="data" sd="0" x="0"/>
        <item t="data" sd="0" x="1"/>
        <item t="data" sd="0" x="2"/>
        <item t="data" sd="0" x="3"/>
        <item t="data" sd="0" x="4"/>
        <item t="data" sd="0" x="5"/>
        <item t="data" sd="0" x="6"/>
        <item t="data" sd="0" x="7"/>
        <item t="data" sd="0" x="8"/>
        <item t="data" sd="0" x="9"/>
        <item t="data" sd="0" x="10"/>
        <item t="data" sd="0" x="11"/>
        <item t="data" sd="0" x="12"/>
        <item t="data" sd="0" x="13"/>
        <item t="data" sd="0" x="14"/>
        <item t="data" sd="0" x="15"/>
        <item t="data" sd="0" x="16"/>
        <item t="data" sd="0" x="17"/>
        <item t="data" sd="0" x="18"/>
        <item t="data" sd="0" x="19"/>
        <item t="data" sd="0" x="20"/>
        <item t="data" sd="0" x="21"/>
        <item t="data" sd="0" x="22"/>
        <item t="data" sd="0" x="23"/>
        <item t="data" sd="0" x="24"/>
        <item t="data" sd="0" x="25"/>
        <item t="data" sd="0" x="26"/>
        <item t="data" sd="0" x="27"/>
        <item t="data" sd="0" x="28"/>
        <item t="data" sd="0" x="29"/>
        <item t="data" sd="0" x="30"/>
        <item t="data" sd="0" x="31"/>
        <item t="data" sd="0" x="32"/>
        <item t="data" sd="0" x="33"/>
        <item t="data" sd="0" x="34"/>
        <item t="data" sd="0" x="35"/>
        <item t="data" sd="0" x="36"/>
        <item t="data" sd="0" x="37"/>
        <item t="data" sd="0" x="38"/>
        <item t="data" sd="0" x="39"/>
        <item t="data" sd="0" x="40"/>
        <item t="data" sd="0" x="41"/>
        <item t="data" sd="0" x="42"/>
        <item t="data" sd="0" x="43"/>
        <item t="data" sd="0" x="44"/>
        <item t="data" sd="0" x="45"/>
        <item t="data" sd="0" x="46"/>
        <item t="data" sd="0" x="47"/>
        <item t="data" sd="0" x="48"/>
        <item t="data" sd="0" x="49"/>
        <item t="data" sd="0" x="50"/>
        <item t="data" sd="0" x="51"/>
        <item t="data" sd="0" x="52"/>
        <item t="data" sd="0" x="53"/>
        <item t="data" sd="0" x="54"/>
        <item t="data" sd="0" x="55"/>
        <item t="data" sd="0" x="56"/>
        <item t="data" sd="0" x="57"/>
        <item t="data" sd="0" x="58"/>
        <item t="data" sd="0" x="59"/>
        <item t="data" sd="0" x="60"/>
        <item t="data" sd="0" x="6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27">
        <item t="data" sd="0" x="0"/>
        <item t="data" sd="0" x="1"/>
        <item t="data" sd="0" x="2"/>
        <item t="data" sd="0" x="3"/>
        <item t="data" sd="0" x="4"/>
        <item t="data" sd="0" x="5"/>
        <item t="data" sd="0" x="6"/>
        <item t="data" sd="0" x="7"/>
        <item t="data" sd="0" x="8"/>
        <item t="data" sd="0" x="9"/>
        <item t="data" sd="0" x="10"/>
        <item t="data" sd="0" x="11"/>
        <item t="data" sd="0" x="12"/>
        <item t="data" sd="0" x="13"/>
        <item t="data" sd="0" x="14"/>
        <item t="data" sd="0" x="15"/>
        <item t="data" sd="0" x="16"/>
        <item t="data" sd="0" x="17"/>
        <item t="data" sd="0" x="18"/>
        <item t="data" sd="0" x="19"/>
        <item t="data" sd="0" x="20"/>
        <item t="data" sd="0" x="21"/>
        <item t="data" sd="0" x="22"/>
        <item t="data" sd="0" x="23"/>
        <item t="data" sd="0" x="24"/>
        <item t="data" sd="0" x="2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63">
        <item t="data" sd="0" x="0"/>
        <item t="data" sd="0" x="1"/>
        <item t="data" sd="0" x="2"/>
        <item t="data" sd="0" x="3"/>
        <item t="data" sd="0" x="4"/>
        <item t="data" sd="0" x="5"/>
        <item t="data" sd="0" x="6"/>
        <item t="data" sd="0" x="7"/>
        <item t="data" sd="0" x="8"/>
        <item t="data" sd="0" x="9"/>
        <item t="data" sd="0" x="10"/>
        <item t="data" sd="0" x="11"/>
        <item t="data" sd="0" x="12"/>
        <item t="data" sd="0" x="13"/>
        <item t="data" sd="0" x="14"/>
        <item t="data" sd="0" x="15"/>
        <item t="data" sd="0" x="16"/>
        <item t="data" sd="0" x="17"/>
        <item t="data" sd="0" x="18"/>
        <item t="data" sd="0" x="19"/>
        <item t="data" sd="0" x="20"/>
        <item t="data" sd="0" x="21"/>
        <item t="data" sd="0" x="22"/>
        <item t="data" sd="0" x="23"/>
        <item t="data" sd="0" x="24"/>
        <item t="data" sd="0" x="25"/>
        <item t="data" sd="0" x="26"/>
        <item t="data" sd="0" x="27"/>
        <item t="data" sd="0" x="28"/>
        <item t="data" sd="0" x="29"/>
        <item t="data" sd="0" x="30"/>
        <item t="data" sd="0" x="31"/>
        <item t="data" sd="0" x="32"/>
        <item t="data" sd="0" x="33"/>
        <item t="data" sd="0" x="34"/>
        <item t="data" sd="0" x="35"/>
        <item t="data" sd="0" x="36"/>
        <item t="data" sd="0" x="37"/>
        <item t="data" sd="0" x="38"/>
        <item t="data" sd="0" x="39"/>
        <item t="data" sd="0" x="40"/>
        <item t="data" sd="0" x="41"/>
        <item t="data" sd="0" x="42"/>
        <item t="data" sd="0" x="43"/>
        <item t="data" sd="0" x="44"/>
        <item t="data" sd="0" x="45"/>
        <item t="data" sd="0" x="46"/>
        <item t="data" sd="0" x="47"/>
        <item t="data" sd="0" x="48"/>
        <item t="data" sd="0" x="49"/>
        <item t="data" sd="0" x="50"/>
        <item t="data" sd="0" x="51"/>
        <item t="data" sd="0" x="52"/>
        <item t="data" sd="0" x="53"/>
        <item t="data" sd="0" x="54"/>
        <item t="data" sd="0" x="55"/>
        <item t="data" sd="0" x="56"/>
        <item t="data" sd="0" x="57"/>
        <item t="data" sd="0" x="58"/>
        <item t="data" sd="0" x="59"/>
        <item t="data" sd="0" x="60"/>
        <item t="data" sd="0" x="6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27">
        <item t="data" sd="0" x="0"/>
        <item t="data" sd="0" x="1"/>
        <item t="data" sd="0" x="2"/>
        <item t="data" sd="0" x="3"/>
        <item t="data" sd="0" x="4"/>
        <item t="data" sd="0" x="5"/>
        <item t="data" sd="0" x="6"/>
        <item t="data" sd="0" x="7"/>
        <item t="data" sd="0" x="8"/>
        <item t="data" sd="0" x="9"/>
        <item t="data" sd="0" x="10"/>
        <item t="data" sd="0" x="11"/>
        <item t="data" sd="0" x="12"/>
        <item t="data" sd="0" x="13"/>
        <item t="data" sd="0" x="14"/>
        <item t="data" sd="0" x="15"/>
        <item t="data" sd="0" x="16"/>
        <item t="data" sd="0" x="17"/>
        <item t="data" sd="0" x="18"/>
        <item t="data" sd="0" x="19"/>
        <item t="data" sd="0" x="20"/>
        <item t="data" sd="0" x="21"/>
        <item t="data" sd="0" x="22"/>
        <item t="data" sd="0" x="23"/>
        <item t="data" sd="0" x="24"/>
        <item t="data" sd="0" x="2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63">
        <item t="data" sd="0" x="0"/>
        <item t="data" sd="0" x="1"/>
        <item t="data" sd="0" x="2"/>
        <item t="data" sd="0" x="3"/>
        <item t="data" sd="0" x="4"/>
        <item t="data" sd="0" x="5"/>
        <item t="data" sd="0" x="6"/>
        <item t="data" sd="0" x="7"/>
        <item t="data" sd="0" x="8"/>
        <item t="data" sd="0" x="9"/>
        <item t="data" sd="0" x="10"/>
        <item t="data" sd="0" x="11"/>
        <item t="data" sd="0" x="12"/>
        <item t="data" sd="0" x="13"/>
        <item t="data" sd="0" x="14"/>
        <item t="data" sd="0" x="15"/>
        <item t="data" sd="0" x="16"/>
        <item t="data" sd="0" x="17"/>
        <item t="data" sd="0" x="18"/>
        <item t="data" sd="0" x="19"/>
        <item t="data" sd="0" x="20"/>
        <item t="data" sd="0" x="21"/>
        <item t="data" sd="0" x="22"/>
        <item t="data" sd="0" x="23"/>
        <item t="data" sd="0" x="24"/>
        <item t="data" sd="0" x="25"/>
        <item t="data" sd="0" x="26"/>
        <item t="data" sd="0" x="27"/>
        <item t="data" sd="0" x="28"/>
        <item t="data" sd="0" x="29"/>
        <item t="data" sd="0" x="30"/>
        <item t="data" sd="0" x="31"/>
        <item t="data" sd="0" x="32"/>
        <item t="data" sd="0" x="33"/>
        <item t="data" sd="0" x="34"/>
        <item t="data" sd="0" x="35"/>
        <item t="data" sd="0" x="36"/>
        <item t="data" sd="0" x="37"/>
        <item t="data" sd="0" x="38"/>
        <item t="data" sd="0" x="39"/>
        <item t="data" sd="0" x="40"/>
        <item t="data" sd="0" x="41"/>
        <item t="data" sd="0" x="42"/>
        <item t="data" sd="0" x="43"/>
        <item t="data" sd="0" x="44"/>
        <item t="data" sd="0" x="45"/>
        <item t="data" sd="0" x="46"/>
        <item t="data" sd="0" x="47"/>
        <item t="data" sd="0" x="48"/>
        <item t="data" sd="0" x="49"/>
        <item t="data" sd="0" x="50"/>
        <item t="data" sd="0" x="51"/>
        <item t="data" sd="0" x="52"/>
        <item t="data" sd="0" x="53"/>
        <item t="data" sd="0" x="54"/>
        <item t="data" sd="0" x="55"/>
        <item t="data" sd="0" x="56"/>
        <item t="data" sd="0" x="57"/>
        <item t="data" sd="0" x="58"/>
        <item t="data" sd="0" x="59"/>
        <item t="data" sd="0" x="60"/>
        <item t="data" sd="0" x="6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27">
        <item t="data" sd="0" x="0"/>
        <item t="data" sd="0" x="1"/>
        <item t="data" sd="0" x="2"/>
        <item t="data" sd="0" x="3"/>
        <item t="data" sd="0" x="4"/>
        <item t="data" sd="0" x="5"/>
        <item t="data" sd="0" x="6"/>
        <item t="data" sd="0" x="7"/>
        <item t="data" sd="0" x="8"/>
        <item t="data" sd="0" x="9"/>
        <item t="data" sd="0" x="10"/>
        <item t="data" sd="0" x="11"/>
        <item t="data" sd="0" x="12"/>
        <item t="data" sd="0" x="13"/>
        <item t="data" sd="0" x="14"/>
        <item t="data" sd="0" x="15"/>
        <item t="data" sd="0" x="16"/>
        <item t="data" sd="0" x="17"/>
        <item t="data" sd="0" x="18"/>
        <item t="data" sd="0" x="19"/>
        <item t="data" sd="0" x="20"/>
        <item t="data" sd="0" x="21"/>
        <item t="data" sd="0" x="22"/>
        <item t="data" sd="0" x="23"/>
        <item t="data" sd="0" x="24"/>
        <item t="data" sd="0" x="25"/>
        <item t="default" sd="1"/>
      </items>
    </pivotField>
  </pivotFields>
  <rowFields count="1">
    <field x="15"/>
  </rowFields>
  <rowItems count="4">
    <i t="data" r="0" i="0">
      <x v="0"/>
    </i>
    <i t="data" r="0" i="0">
      <x v="1"/>
    </i>
    <i t="data" r="0" i="0">
      <x v="2"/>
    </i>
    <i t="grand" r="0" i="0">
      <x v="0"/>
    </i>
  </rowItems>
  <colItems count="1">
    <i t="data" r="0" i="0"/>
  </colItems>
  <dataFields count="1">
    <dataField name="Count of Date" fld="15" subtotal="count" showDataAs="normal" baseField="0" baseItem="0"/>
  </dataFields>
  <formats count="1">
    <format action="formatting" dxfId="14">
      <pivotArea type="normal" dataOnly="1" grandRow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1" cacheId="6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7" fieldListSortAscending="0" mdxSubqueries="0" applyNumberFormats="0" applyBorderFormats="0" applyFontFormats="0" applyPatternFormats="0" applyAlignmentFormats="0" applyWidthHeightFormats="1" r:id="rId1">
  <location ref="A3:B10" firstHeaderRow="1" firstDataRow="1" firstDataCol="1"/>
  <pivotFields count="23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2">
        <item t="data" sd="1" x="2"/>
        <item t="data" sd="1" x="8"/>
        <item t="data" sd="1" x="4"/>
        <item t="data" sd="1" x="5"/>
        <item t="data" sd="1" x="9"/>
        <item t="data" sd="1" x="0"/>
        <item t="data" sd="1" x="1"/>
        <item t="data" sd="1" x="6"/>
        <item t="data" sd="1" x="3"/>
        <item t="data" sd="1" x="7"/>
        <item t="data" sd="1" x="10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2"/>
        <item t="data" sd="1" x="9"/>
        <item t="data" sd="1" x="4"/>
        <item t="data" sd="1" x="5"/>
        <item t="data" sd="1" x="10"/>
        <item t="data" sd="1" x="0"/>
        <item t="data" sd="1" x="6"/>
        <item t="data" sd="1" x="1"/>
        <item t="data" sd="1" x="7"/>
        <item t="data" sd="1" x="3"/>
        <item t="data" sd="1" x="8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13">
        <item t="data" sd="1" x="2"/>
        <item t="data" sd="1" x="9"/>
        <item t="data" sd="1" x="4"/>
        <item t="data" sd="1" x="5"/>
        <item t="data" sd="1" x="10"/>
        <item t="data" sd="1" x="0"/>
        <item t="data" sd="1" x="6"/>
        <item t="data" sd="1" x="1"/>
        <item t="data" sd="1" x="7"/>
        <item t="data" sd="1" x="3"/>
        <item t="data" sd="1" x="8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63">
        <item t="data" sd="0" x="0"/>
        <item t="data" sd="0" x="1"/>
        <item t="data" sd="0" x="2"/>
        <item t="data" sd="0" x="3"/>
        <item t="data" sd="0" x="4"/>
        <item t="data" sd="0" x="5"/>
        <item t="data" sd="0" x="6"/>
        <item t="data" sd="0" x="7"/>
        <item t="data" sd="0" x="8"/>
        <item t="data" sd="0" x="9"/>
        <item t="data" sd="0" x="10"/>
        <item t="data" sd="0" x="11"/>
        <item t="data" sd="0" x="12"/>
        <item t="data" sd="0" x="13"/>
        <item t="data" sd="0" x="14"/>
        <item t="data" sd="0" x="15"/>
        <item t="data" sd="0" x="16"/>
        <item t="data" sd="0" x="17"/>
        <item t="data" sd="0" x="18"/>
        <item t="data" sd="0" x="19"/>
        <item t="data" sd="0" x="20"/>
        <item t="data" sd="0" x="21"/>
        <item t="data" sd="0" x="22"/>
        <item t="data" sd="0" x="23"/>
        <item t="data" sd="0" x="24"/>
        <item t="data" sd="0" x="25"/>
        <item t="data" sd="0" x="26"/>
        <item t="data" sd="0" x="27"/>
        <item t="data" sd="0" x="28"/>
        <item t="data" sd="0" x="29"/>
        <item t="data" sd="0" x="30"/>
        <item t="data" sd="0" x="31"/>
        <item t="data" sd="0" x="32"/>
        <item t="data" sd="0" x="33"/>
        <item t="data" sd="0" x="34"/>
        <item t="data" sd="0" x="35"/>
        <item t="data" sd="0" x="36"/>
        <item t="data" sd="0" x="37"/>
        <item t="data" sd="0" x="38"/>
        <item t="data" sd="0" x="39"/>
        <item t="data" sd="0" x="40"/>
        <item t="data" sd="0" x="41"/>
        <item t="data" sd="0" x="42"/>
        <item t="data" sd="0" x="43"/>
        <item t="data" sd="0" x="44"/>
        <item t="data" sd="0" x="45"/>
        <item t="data" sd="0" x="46"/>
        <item t="data" sd="0" x="47"/>
        <item t="data" sd="0" x="48"/>
        <item t="data" sd="0" x="49"/>
        <item t="data" sd="0" x="50"/>
        <item t="data" sd="0" x="51"/>
        <item t="data" sd="0" x="52"/>
        <item t="data" sd="0" x="53"/>
        <item t="data" sd="0" x="54"/>
        <item t="data" sd="0" x="55"/>
        <item t="data" sd="0" x="56"/>
        <item t="data" sd="0" x="57"/>
        <item t="data" sd="0" x="58"/>
        <item t="data" sd="0" x="59"/>
        <item t="data" sd="0" x="60"/>
        <item t="data" sd="0" x="61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27">
        <item t="data" sd="0" x="0"/>
        <item t="data" sd="0" x="1"/>
        <item t="data" sd="0" x="2"/>
        <item t="data" sd="0" x="3"/>
        <item t="data" sd="0" x="4"/>
        <item t="data" sd="0" x="5"/>
        <item t="data" sd="0" x="6"/>
        <item t="data" sd="0" x="7"/>
        <item t="data" sd="0" x="8"/>
        <item t="data" sd="0" x="9"/>
        <item t="data" sd="0" x="10"/>
        <item t="data" sd="0" x="11"/>
        <item t="data" sd="0" x="12"/>
        <item t="data" sd="0" x="13"/>
        <item t="data" sd="0" x="14"/>
        <item t="data" sd="0" x="15"/>
        <item t="data" sd="0" x="16"/>
        <item t="data" sd="0" x="17"/>
        <item t="data" sd="0" x="18"/>
        <item t="data" sd="0" x="19"/>
        <item t="data" sd="0" x="20"/>
        <item t="data" sd="0" x="21"/>
        <item t="data" sd="0" x="22"/>
        <item t="data" sd="0" x="23"/>
        <item t="data" sd="0" x="24"/>
        <item t="data" sd="0" x="25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63">
        <item t="data" sd="0" x="0"/>
        <item t="data" sd="0" x="1"/>
        <item t="data" sd="0" x="2"/>
        <item t="data" sd="0" x="3"/>
        <item t="data" sd="0" x="4"/>
        <item t="data" sd="0" x="5"/>
        <item t="data" sd="0" x="6"/>
        <item t="data" sd="0" x="7"/>
        <item t="data" sd="0" x="8"/>
        <item t="data" sd="0" x="9"/>
        <item t="data" sd="0" x="10"/>
        <item t="data" sd="0" x="11"/>
        <item t="data" sd="0" x="12"/>
        <item t="data" sd="0" x="13"/>
        <item t="data" sd="0" x="14"/>
        <item t="data" sd="0" x="15"/>
        <item t="data" sd="0" x="16"/>
        <item t="data" sd="0" x="17"/>
        <item t="data" sd="0" x="18"/>
        <item t="data" sd="0" x="19"/>
        <item t="data" sd="0" x="20"/>
        <item t="data" sd="0" x="21"/>
        <item t="data" sd="0" x="22"/>
        <item t="data" sd="0" x="23"/>
        <item t="data" sd="0" x="24"/>
        <item t="data" sd="0" x="25"/>
        <item t="data" sd="0" x="26"/>
        <item t="data" sd="0" x="27"/>
        <item t="data" sd="0" x="28"/>
        <item t="data" sd="0" x="29"/>
        <item t="data" sd="0" x="30"/>
        <item t="data" sd="0" x="31"/>
        <item t="data" sd="0" x="32"/>
        <item t="data" sd="0" x="33"/>
        <item t="data" sd="0" x="34"/>
        <item t="data" sd="0" x="35"/>
        <item t="data" sd="0" x="36"/>
        <item t="data" sd="0" x="37"/>
        <item t="data" sd="0" x="38"/>
        <item t="data" sd="0" x="39"/>
        <item t="data" sd="0" x="40"/>
        <item t="data" sd="0" x="41"/>
        <item t="data" sd="0" x="42"/>
        <item t="data" sd="0" x="43"/>
        <item t="data" sd="0" x="44"/>
        <item t="data" sd="0" x="45"/>
        <item t="data" sd="0" x="46"/>
        <item t="data" sd="0" x="47"/>
        <item t="data" sd="0" x="48"/>
        <item t="data" sd="0" x="49"/>
        <item t="data" sd="0" x="50"/>
        <item t="data" sd="0" x="51"/>
        <item t="data" sd="0" x="52"/>
        <item t="data" sd="0" x="53"/>
        <item t="data" sd="0" x="54"/>
        <item t="data" sd="0" x="55"/>
        <item t="data" sd="0" x="56"/>
        <item t="data" sd="0" x="57"/>
        <item t="data" sd="0" x="58"/>
        <item t="data" sd="0" x="59"/>
        <item t="data" sd="0" x="60"/>
        <item t="data" sd="0" x="61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27">
        <item t="data" sd="0" x="0"/>
        <item t="data" sd="0" x="1"/>
        <item t="data" sd="0" x="2"/>
        <item t="data" sd="0" x="3"/>
        <item t="data" sd="0" x="4"/>
        <item t="data" sd="0" x="5"/>
        <item t="data" sd="0" x="6"/>
        <item t="data" sd="0" x="7"/>
        <item t="data" sd="0" x="8"/>
        <item t="data" sd="0" x="9"/>
        <item t="data" sd="0" x="10"/>
        <item t="data" sd="0" x="11"/>
        <item t="data" sd="0" x="12"/>
        <item t="data" sd="0" x="13"/>
        <item t="data" sd="0" x="14"/>
        <item t="data" sd="0" x="15"/>
        <item t="data" sd="0" x="16"/>
        <item t="data" sd="0" x="17"/>
        <item t="data" sd="0" x="18"/>
        <item t="data" sd="0" x="19"/>
        <item t="data" sd="0" x="20"/>
        <item t="data" sd="0" x="21"/>
        <item t="data" sd="0" x="22"/>
        <item t="data" sd="0" x="23"/>
        <item t="data" sd="0" x="24"/>
        <item t="data" sd="0" x="2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6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27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efault" sd="1"/>
      </items>
    </pivotField>
  </pivotFields>
  <rowFields count="6">
    <field x="18"/>
    <field x="17"/>
    <field x="11"/>
    <field x="20"/>
    <field x="19"/>
    <field x="12"/>
  </rowFields>
  <rowItems count="7">
    <i t="data" r="0" i="0">
      <x v="0"/>
    </i>
    <i t="data" r="0" i="0">
      <x v="10"/>
    </i>
    <i t="data" r="0" i="0">
      <x v="11"/>
    </i>
    <i t="data" r="0" i="0">
      <x v="14"/>
    </i>
    <i t="data" r="0" i="0">
      <x v="15"/>
    </i>
    <i t="data" r="0" i="0">
      <x v="17"/>
    </i>
    <i t="grand" r="0" i="0">
      <x v="0"/>
    </i>
  </rowItems>
  <colItems count="1">
    <i t="data" r="0" i="0"/>
  </colItems>
  <dataFields count="1">
    <dataField name="Average of Imaged Duration" fld="8" subtotal="average" showDataAs="normal" baseField="18" baseItem="0"/>
  </dataFields>
  <formats count="6">
    <format action="formatting" dxfId="13">
      <pivotArea type="normal" dataOnly="1" outline="1" collapsedLevelsAreSubtotals="1" fieldPosition="0">
        <references count="1">
          <reference field="18">
            <x v="10"/>
          </reference>
        </references>
      </pivotArea>
    </format>
    <format action="formatting" dxfId="12">
      <pivotArea type="normal" dataOnly="1" outline="1" collapsedLevelsAreSubtotals="1" fieldPosition="0">
        <references count="1">
          <reference field="18">
            <x v="11"/>
          </reference>
        </references>
      </pivotArea>
    </format>
    <format action="formatting" dxfId="11">
      <pivotArea type="normal" dataOnly="1" outline="1" collapsedLevelsAreSubtotals="1" fieldPosition="0">
        <references count="1">
          <reference field="18">
            <x v="14"/>
          </reference>
        </references>
      </pivotArea>
    </format>
    <format action="formatting" dxfId="10">
      <pivotArea type="normal" dataOnly="1" outline="1" collapsedLevelsAreSubtotals="1" fieldPosition="0">
        <references count="1">
          <reference field="18">
            <x v="15"/>
          </reference>
        </references>
      </pivotArea>
    </format>
    <format action="formatting" dxfId="9">
      <pivotArea type="normal" dataOnly="1" outline="1" collapsedLevelsAreSubtotals="1" fieldPosition="0">
        <references count="1">
          <reference field="18">
            <x v="17"/>
          </reference>
        </references>
      </pivotArea>
    </format>
    <format action="formatting" dxfId="8">
      <pivotArea type="normal" dataOnly="1" grandRow="1" outline="0" collapsedLevelsAreSubtotals="1" fieldPosition="0"/>
    </format>
  </formats>
  <chartFormats count="8">
    <chartFormat chart="2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1" series="0">
      <pivotArea type="data" dataOnly="1" outline="0" fieldPosition="0">
        <references count="2">
          <reference field="4294967294" selected="0">
            <x v="0"/>
          </reference>
          <reference field="18" selected="0">
            <x v="0"/>
          </reference>
        </references>
      </pivotArea>
    </chartFormat>
    <chartFormat chart="4" format="2" series="0">
      <pivotArea type="data" dataOnly="1" outline="0" fieldPosition="0">
        <references count="2">
          <reference field="4294967294" selected="0">
            <x v="0"/>
          </reference>
          <reference field="18" selected="0">
            <x v="10"/>
          </reference>
        </references>
      </pivotArea>
    </chartFormat>
    <chartFormat chart="4" format="3" series="0">
      <pivotArea type="data" dataOnly="1" outline="0" fieldPosition="0">
        <references count="2">
          <reference field="4294967294" selected="0">
            <x v="0"/>
          </reference>
          <reference field="18" selected="0">
            <x v="11"/>
          </reference>
        </references>
      </pivotArea>
    </chartFormat>
    <chartFormat chart="4" format="4" series="0">
      <pivotArea type="data" dataOnly="1" outline="0" fieldPosition="0">
        <references count="2">
          <reference field="4294967294" selected="0">
            <x v="0"/>
          </reference>
          <reference field="18" selected="0">
            <x v="14"/>
          </reference>
        </references>
      </pivotArea>
    </chartFormat>
    <chartFormat chart="4" format="5" series="0">
      <pivotArea type="data" dataOnly="1" outline="0" fieldPosition="0">
        <references count="2">
          <reference field="4294967294" selected="0">
            <x v="0"/>
          </reference>
          <reference field="18" selected="0">
            <x v="15"/>
          </reference>
        </references>
      </pivotArea>
    </chartFormat>
    <chartFormat chart="4" format="6" series="0">
      <pivotArea type="data" dataOnly="1" outline="0" fieldPosition="0">
        <references count="2">
          <reference field="4294967294" selected="0">
            <x v="0"/>
          </reference>
          <reference field="18" selected="0">
            <x v="17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2" cacheId="16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30" fieldListSortAscending="0" mdxSubqueries="0" applyNumberFormats="0" applyBorderFormats="0" applyFontFormats="0" applyPatternFormats="0" applyAlignmentFormats="0" applyWidthHeightFormats="1" r:id="rId1">
  <location ref="A5:B9" firstHeaderRow="1" firstDataRow="1" firstDataCol="1" rowPageCount="1" colPageCount="1"/>
  <pivotFields count="24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descending" defaultSubtotal="1">
      <items count="5">
        <item t="data" sd="1" x="2"/>
        <item t="data" sd="1" x="1"/>
        <item t="data" sd="1" x="0"/>
        <item t="data" sd="1" x="3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numFmtId="20" outline="1" subtotalTop="1" dragToRow="1" dragToCol="1" dragToPage="1" dragToData="1" dragOff="1" showAll="0" topAutoShow="1" itemPageCount="10" sortType="manual" defaultSubtotal="1">
      <items count="23">
        <item t="data" sd="1" x="7"/>
        <item t="data" sd="1" x="0"/>
        <item t="data" sd="1" x="1"/>
        <item t="data" sd="1" x="2"/>
        <item t="data" sd="1" x="3"/>
        <item t="data" sd="1" x="9"/>
        <item t="data" sd="1" x="17"/>
        <item t="data" sd="1" x="8"/>
        <item t="data" sd="1" x="16"/>
        <item t="data" sd="1" x="4"/>
        <item t="data" sd="1" x="12"/>
        <item t="data" sd="1" x="15"/>
        <item t="data" sd="1" x="18"/>
        <item t="data" sd="1" x="6"/>
        <item t="data" sd="1" x="5"/>
        <item t="data" sd="1" x="19"/>
        <item t="data" sd="1" x="10"/>
        <item t="data" sd="1" x="11"/>
        <item t="data" sd="1" x="13"/>
        <item t="data" sd="1" x="14"/>
        <item t="data" sd="1" x="20"/>
        <item t="data" sd="1" x="2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8" outline="1" subtotalTop="1" dragToRow="1" dragToCol="1" dragToPage="1" dragToData="1" dragOff="1" showAll="0" topAutoShow="1" itemPageCount="10" sortType="manual" defaultSubtotal="1"/>
    <pivotField showDropDowns="1" compact="1" numFmtId="18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>
      <items count="1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h="1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63">
        <item t="data" sd="0" x="0"/>
        <item t="data" sd="0" x="1"/>
        <item t="data" sd="0" x="2"/>
        <item t="data" sd="0" x="3"/>
        <item t="data" sd="0" x="4"/>
        <item t="data" sd="0" x="5"/>
        <item t="data" sd="0" x="6"/>
        <item t="data" sd="0" x="7"/>
        <item t="data" sd="0" x="8"/>
        <item t="data" sd="0" x="9"/>
        <item t="data" sd="0" x="10"/>
        <item t="data" sd="0" x="11"/>
        <item t="data" sd="0" x="12"/>
        <item t="data" sd="0" x="13"/>
        <item t="data" sd="0" x="14"/>
        <item t="data" sd="0" x="15"/>
        <item t="data" sd="0" x="16"/>
        <item t="data" sd="0" x="17"/>
        <item t="data" sd="0" x="18"/>
        <item t="data" sd="0" x="19"/>
        <item t="data" sd="0" x="20"/>
        <item t="data" sd="0" x="21"/>
        <item t="data" sd="0" x="22"/>
        <item t="data" sd="0" x="23"/>
        <item t="data" sd="0" x="24"/>
        <item t="data" sd="0" x="25"/>
        <item t="data" sd="0" x="26"/>
        <item t="data" sd="0" x="27"/>
        <item t="data" sd="0" x="28"/>
        <item t="data" sd="0" x="29"/>
        <item t="data" sd="0" x="30"/>
        <item t="data" sd="0" x="31"/>
        <item t="data" sd="0" x="32"/>
        <item t="data" sd="0" x="33"/>
        <item t="data" sd="0" x="34"/>
        <item t="data" sd="0" x="35"/>
        <item t="data" sd="0" x="36"/>
        <item t="data" sd="0" x="37"/>
        <item t="data" sd="0" x="38"/>
        <item t="data" sd="0" x="39"/>
        <item t="data" sd="0" x="40"/>
        <item t="data" sd="0" x="41"/>
        <item t="data" sd="0" x="42"/>
        <item t="data" sd="0" x="43"/>
        <item t="data" sd="0" x="44"/>
        <item t="data" sd="0" x="45"/>
        <item t="data" sd="0" x="46"/>
        <item t="data" sd="0" x="47"/>
        <item t="data" sd="0" x="48"/>
        <item t="data" sd="0" x="49"/>
        <item t="data" sd="0" x="50"/>
        <item t="data" sd="0" x="51"/>
        <item t="data" sd="0" x="52"/>
        <item t="data" sd="0" x="53"/>
        <item t="data" sd="0" x="54"/>
        <item t="data" sd="0" x="55"/>
        <item t="data" sd="0" x="56"/>
        <item t="data" sd="0" x="57"/>
        <item t="data" sd="0" x="58"/>
        <item t="data" sd="0" x="59"/>
        <item t="data" sd="0" x="60"/>
        <item t="data" sd="0" x="6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27">
        <item t="data" sd="0" x="0"/>
        <item t="data" sd="0" x="1"/>
        <item t="data" sd="0" x="2"/>
        <item t="data" sd="0" x="3"/>
        <item t="data" sd="0" x="4"/>
        <item t="data" sd="0" x="5"/>
        <item t="data" sd="0" x="6"/>
        <item t="data" sd="0" x="7"/>
        <item t="data" sd="0" x="8"/>
        <item t="data" sd="0" x="9"/>
        <item t="data" sd="0" x="10"/>
        <item t="data" sd="0" x="11"/>
        <item t="data" sd="0" x="12"/>
        <item t="data" sd="0" x="13"/>
        <item t="data" sd="0" x="14"/>
        <item t="data" sd="0" x="15"/>
        <item t="data" sd="0" x="16"/>
        <item t="data" sd="0" x="17"/>
        <item t="data" sd="0" x="18"/>
        <item t="data" sd="0" x="19"/>
        <item t="data" sd="0" x="20"/>
        <item t="data" sd="0" x="21"/>
        <item t="data" sd="0" x="22"/>
        <item t="data" sd="0" x="23"/>
        <item t="data" sd="0" x="24"/>
        <item t="data" sd="0" x="25"/>
        <item t="default" sd="1"/>
      </items>
    </pivotField>
  </pivotFields>
  <rowFields count="1">
    <field x="6"/>
  </rowFields>
  <rowItems count="4">
    <i t="data" r="0" i="0">
      <x v="3"/>
    </i>
    <i t="data" r="0" i="0">
      <x v="1"/>
    </i>
    <i t="data" r="0" i="0">
      <x v="0"/>
    </i>
    <i t="data" r="0" i="0">
      <x v="2"/>
    </i>
  </rowItems>
  <colItems count="1">
    <i t="data" r="0" i="0"/>
  </colItems>
  <pageFields count="1">
    <pageField fld="18" hier="-1"/>
  </pageFields>
  <dataFields count="1">
    <dataField name="Average Imaging Duration by Image (Production Imaging)" fld="8" subtotal="average" showDataAs="normal" baseField="6" baseItem="3" numFmtId="20"/>
  </dataFields>
  <formats count="1">
    <format action="formatting" dxfId="7">
      <pivotArea type="normal" dataOnly="0" labelOnly="1" outline="0" axis="axisValues" fieldPosition="0"/>
    </format>
  </formats>
  <chartFormats count="1">
    <chartFormat chart="19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3" cacheId="16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9" fieldListSortAscending="0" mdxSubqueries="0" applyNumberFormats="0" applyBorderFormats="0" applyFontFormats="0" applyPatternFormats="0" applyAlignmentFormats="0" applyWidthHeightFormats="1" r:id="rId1">
  <location ref="F5:G9" firstHeaderRow="1" firstDataRow="2" firstDataCol="1" rowPageCount="1" colPageCount="1"/>
  <pivotFields count="24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numFmtId="20" outline="1" subtotalTop="1" dragToRow="1" dragToCol="1" dragToPage="1" dragToData="1" dragOff="1" showAll="0" topAutoShow="1" itemPageCount="10" sortType="manual" defaultSubtotal="1">
      <items count="23">
        <item t="data" sd="1" x="7"/>
        <item t="data" sd="1" x="0"/>
        <item t="data" sd="1" x="1"/>
        <item t="data" sd="1" x="2"/>
        <item t="data" sd="1" x="3"/>
        <item t="data" sd="1" x="9"/>
        <item t="data" sd="1" x="17"/>
        <item t="data" sd="1" x="8"/>
        <item t="data" sd="1" x="16"/>
        <item t="data" sd="1" x="4"/>
        <item t="data" sd="1" x="12"/>
        <item t="data" sd="1" x="15"/>
        <item t="data" sd="1" x="18"/>
        <item t="data" sd="1" x="6"/>
        <item t="data" sd="1" x="5"/>
        <item t="data" sd="1" x="19"/>
        <item t="data" sd="1" x="10"/>
        <item t="data" sd="1" x="11"/>
        <item t="data" sd="1" x="13"/>
        <item t="data" sd="1" x="14"/>
        <item t="data" sd="1" x="20"/>
        <item t="data" sd="1" x="2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8" outline="1" subtotalTop="1" dragToRow="1" dragToCol="1" dragToPage="1" dragToData="1" dragOff="1" showAll="0" topAutoShow="1" itemPageCount="10" sortType="manual" defaultSubtotal="1"/>
    <pivotField showDropDowns="1" compact="1" numFmtId="18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>
      <items count="1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h="1" sd="1" x="1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descending" defaultSubtotal="1">
      <items count="4">
        <item t="data" sd="1" x="0"/>
        <item t="data" sd="1" x="1"/>
        <item t="data" sd="1" x="2"/>
        <item t="default" sd="1"/>
      </items>
      <autoSortScope>
        <pivotArea type="normal" dataOnly="0" outline="0" fieldPosition="0">
          <references count="2">
            <reference field="4294967294" selected="0">
              <x v="0"/>
            </reference>
            <reference field="20" selected="0">
              <x v="0"/>
            </reference>
          </references>
        </pivotArea>
      </autoSortScope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>
      <items count="2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</items>
    </pivotField>
  </pivotFields>
  <rowFields count="1">
    <field x="19"/>
  </rowFields>
  <rowItems count="3">
    <i t="data" r="0" i="0">
      <x v="1"/>
    </i>
    <i t="data" r="0" i="0">
      <x v="2"/>
    </i>
    <i t="data" r="0" i="0">
      <x v="0"/>
    </i>
  </rowItems>
  <colFields count="1">
    <field x="20"/>
  </colFields>
  <colItems count="1">
    <i t="data" r="0" i="0">
      <x v="0"/>
    </i>
  </colItems>
  <pageFields count="1">
    <pageField fld="18" hier="-1"/>
  </pageFields>
  <dataFields count="1">
    <dataField name="Average of Imaged Duration" fld="8" subtotal="average" showDataAs="normal" baseField="19" baseItem="0" numFmtId="20"/>
  </dataFields>
  <formats count="1">
    <format action="formatting" dxfId="6">
      <pivotArea type="origin" dataOnly="0" labelOnly="1" outline="0" fieldPosition="0"/>
    </format>
  </formats>
  <chartFormats count="4">
    <chartFormat chart="6" format="0" series="1">
      <pivotArea type="data" dataOnly="1" outline="0" fieldPosition="0">
        <references count="2">
          <reference field="4294967294" selected="0">
            <x v="0"/>
          </reference>
          <reference field="20" selected="0">
            <x v="0"/>
          </reference>
        </references>
      </pivotArea>
    </chartFormat>
    <chartFormat chart="8" format="2" series="1">
      <pivotArea type="data" dataOnly="1" outline="0" fieldPosition="0">
        <references count="2">
          <reference field="4294967294" selected="0">
            <x v="0"/>
          </reference>
          <reference field="20" selected="0">
            <x v="0"/>
          </reference>
        </references>
      </pivotArea>
    </chartFormat>
    <chartFormat chart="8" format="3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6" format="1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PivotTable4" cacheId="16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9" fieldListSortAscending="0" mdxSubqueries="0" applyNumberFormats="0" applyBorderFormats="0" applyFontFormats="0" applyPatternFormats="0" applyAlignmentFormats="0" applyWidthHeightFormats="1" r:id="rId1">
  <location ref="A16:B20" firstHeaderRow="1" firstDataRow="1" firstDataCol="1" rowPageCount="1" colPageCount="1"/>
  <pivotFields count="24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descending" defaultSubtotal="1">
      <items count="5">
        <item t="data" sd="1" x="2"/>
        <item t="data" sd="1" x="1"/>
        <item t="data" sd="1" x="0"/>
        <item t="data" sd="1" x="3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20" outline="1" subtotalTop="1" dragToRow="1" dragToCol="1" dragToPage="1" dragToData="1" dragOff="1" showAll="0" topAutoShow="1" itemPageCount="10" sortType="manual" defaultSubtotal="1">
      <items count="23">
        <item t="data" sd="1" x="20"/>
        <item t="data" sd="1" x="7"/>
        <item t="data" sd="1" x="0"/>
        <item t="data" sd="1" x="1"/>
        <item t="data" sd="1" x="2"/>
        <item t="data" sd="1" x="3"/>
        <item t="data" sd="1" x="9"/>
        <item t="data" sd="1" x="17"/>
        <item t="data" sd="1" x="8"/>
        <item t="data" sd="1" x="16"/>
        <item t="data" sd="1" x="21"/>
        <item t="data" sd="1" x="4"/>
        <item t="data" sd="1" x="12"/>
        <item t="data" sd="1" x="15"/>
        <item t="data" sd="1" x="18"/>
        <item t="data" sd="1" x="6"/>
        <item t="data" sd="1" x="5"/>
        <item t="data" sd="1" x="19"/>
        <item t="data" sd="1" x="10"/>
        <item t="data" sd="1" x="11"/>
        <item t="data" sd="1" x="13"/>
        <item t="data" sd="1" x="14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8" outline="1" subtotalTop="1" dragToRow="1" dragToCol="1" dragToPage="1" dragToData="1" dragOff="1" showAll="0" topAutoShow="1" itemPageCount="10" sortType="manual" defaultSubtotal="1"/>
    <pivotField showDropDowns="1" compact="1" numFmtId="18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>
      <items count="1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27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efault" sd="1"/>
      </items>
    </pivotField>
  </pivotFields>
  <rowFields count="1">
    <field x="6"/>
  </rowFields>
  <rowItems count="4">
    <i t="data" r="0" i="0">
      <x v="2"/>
    </i>
    <i t="data" r="0" i="0">
      <x v="3"/>
    </i>
    <i t="data" r="0" i="0">
      <x v="0"/>
    </i>
    <i t="data" r="0" i="0">
      <x v="1"/>
    </i>
  </rowItems>
  <colItems count="1">
    <i t="data" r="0" i="0"/>
  </colItems>
  <pageFields count="1">
    <pageField fld="18" item="0" hier="-1"/>
  </pageFields>
  <dataFields count="1">
    <dataField name="Average of .BAT  file duration" fld="9" subtotal="average" showDataAs="normal" baseField="6" baseItem="2" numFmtId="164"/>
  </dataFields>
  <formats count="2">
    <format action="formatting" dxfId="5">
      <pivotArea field="18" type="button" dataOnly="0" labelOnly="1" outline="0" axis="axisPage" fieldPosition="0"/>
    </format>
    <format action="formatting" dxfId="4">
      <pivotArea field="18" type="button" dataOnly="0" labelOnly="1" outline="0" axis="axisPage" fieldPosition="0"/>
    </format>
  </formats>
  <chartFormats count="1">
    <chartFormat chart="6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PivotTable5" cacheId="16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9" fieldListSortAscending="0" mdxSubqueries="0" applyNumberFormats="0" applyBorderFormats="0" applyFontFormats="0" applyPatternFormats="0" applyAlignmentFormats="0" applyWidthHeightFormats="1" r:id="rId1">
  <location ref="F16:G20" firstHeaderRow="1" firstDataRow="1" firstDataCol="1" rowPageCount="1" colPageCount="1"/>
  <pivotFields count="24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descending" defaultSubtotal="1">
      <items count="5">
        <item t="data" sd="1" x="2"/>
        <item t="data" sd="1" x="1"/>
        <item t="data" sd="1" x="0"/>
        <item t="data" sd="1" x="3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numFmtId="20" outline="1" subtotalTop="1" dragToRow="1" dragToCol="1" dragToPage="1" dragToData="1" dragOff="1" showAll="0" topAutoShow="1" itemPageCount="10" sortType="manual" defaultSubtotal="1">
      <items count="23">
        <item t="data" sd="1" x="7"/>
        <item t="data" sd="1" x="0"/>
        <item t="data" sd="1" x="1"/>
        <item t="data" sd="1" x="2"/>
        <item t="data" sd="1" x="3"/>
        <item t="data" sd="1" x="9"/>
        <item t="data" sd="1" x="17"/>
        <item t="data" sd="1" x="8"/>
        <item t="data" sd="1" x="16"/>
        <item t="data" sd="1" x="4"/>
        <item t="data" sd="1" x="12"/>
        <item t="data" sd="1" x="15"/>
        <item t="data" sd="1" x="18"/>
        <item t="data" sd="1" x="6"/>
        <item t="data" sd="1" x="5"/>
        <item t="data" sd="1" x="19"/>
        <item t="data" sd="1" x="10"/>
        <item t="data" sd="1" x="11"/>
        <item t="data" sd="1" x="13"/>
        <item t="data" sd="1" x="14"/>
        <item t="data" sd="1" x="20"/>
        <item t="data" sd="1" x="2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8" outline="1" subtotalTop="1" dragToRow="1" dragToCol="1" dragToPage="1" dragToData="1" dragOff="1" showAll="0" topAutoShow="1" itemPageCount="10" sortType="manual" defaultSubtotal="1"/>
    <pivotField showDropDowns="1" compact="1" numFmtId="18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>
      <items count="1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0">
      <items count="62">
        <item t="data" sd="0" x="0"/>
        <item t="data" sd="0" x="1"/>
        <item t="data" sd="0" x="2"/>
        <item t="data" sd="0" x="3"/>
        <item t="data" sd="0" x="4"/>
        <item t="data" sd="0" x="5"/>
        <item t="data" sd="0" x="6"/>
        <item t="data" sd="0" x="7"/>
        <item t="data" sd="0" x="8"/>
        <item t="data" sd="0" x="9"/>
        <item t="data" sd="0" x="10"/>
        <item t="data" sd="0" x="11"/>
        <item t="data" sd="0" x="12"/>
        <item t="data" sd="0" x="13"/>
        <item t="data" sd="0" x="14"/>
        <item t="data" sd="0" x="15"/>
        <item t="data" sd="0" x="16"/>
        <item t="data" sd="0" x="17"/>
        <item t="data" sd="0" x="18"/>
        <item t="data" sd="0" x="19"/>
        <item t="data" sd="0" x="20"/>
        <item t="data" sd="0" x="21"/>
        <item t="data" sd="0" x="22"/>
        <item t="data" sd="0" x="23"/>
        <item t="data" sd="0" x="24"/>
        <item t="data" sd="0" x="25"/>
        <item t="data" sd="0" x="26"/>
        <item t="data" sd="0" x="27"/>
        <item t="data" sd="0" x="28"/>
        <item t="data" sd="0" x="29"/>
        <item t="data" sd="0" x="30"/>
        <item t="data" sd="0" x="31"/>
        <item t="data" sd="0" x="32"/>
        <item t="data" sd="0" x="33"/>
        <item t="data" sd="0" x="34"/>
        <item t="data" sd="0" x="35"/>
        <item t="data" sd="0" x="36"/>
        <item t="data" sd="0" x="37"/>
        <item t="data" sd="0" x="38"/>
        <item t="data" sd="0" x="39"/>
        <item t="data" sd="0" x="40"/>
        <item t="data" sd="0" x="41"/>
        <item t="data" sd="0" x="42"/>
        <item t="data" sd="0" x="43"/>
        <item t="data" sd="0" x="44"/>
        <item t="data" sd="0" x="45"/>
        <item t="data" sd="0" x="46"/>
        <item t="data" sd="0" x="47"/>
        <item t="data" sd="0" x="48"/>
        <item t="data" sd="0" x="49"/>
        <item t="data" sd="0" x="50"/>
        <item t="data" sd="0" x="51"/>
        <item t="data" sd="0" x="52"/>
        <item t="data" sd="0" x="53"/>
        <item t="data" sd="0" x="54"/>
        <item t="data" sd="0" x="55"/>
        <item t="data" sd="0" x="56"/>
        <item t="data" sd="0" x="57"/>
        <item t="data" sd="0" x="58"/>
        <item t="data" sd="0" x="59"/>
        <item t="data" sd="0" x="60"/>
        <item t="data" sd="0" x="61"/>
      </items>
    </pivotField>
    <pivotField showDropDowns="1" compact="1" outline="1" subtotalTop="1" dragToRow="1" dragToCol="1" dragToPage="1" dragToData="1" dragOff="1" showAll="0" topAutoShow="1" itemPageCount="10" sortType="manual" defaultSubtotal="0">
      <items count="26">
        <item t="data" sd="0" x="0"/>
        <item t="data" sd="0" x="1"/>
        <item t="data" sd="0" x="2"/>
        <item t="data" sd="0" x="3"/>
        <item t="data" sd="0" x="4"/>
        <item t="data" sd="0" x="5"/>
        <item t="data" sd="0" x="6"/>
        <item t="data" sd="0" x="7"/>
        <item t="data" sd="0" x="8"/>
        <item t="data" sd="0" x="9"/>
        <item t="data" sd="0" x="10"/>
        <item t="data" sd="0" x="11"/>
        <item t="data" sd="0" x="12"/>
        <item t="data" sd="0" x="13"/>
        <item t="data" sd="0" x="14"/>
        <item t="data" sd="0" x="15"/>
        <item t="data" sd="0" x="16"/>
        <item t="data" sd="0" x="17"/>
        <item t="data" sd="0" x="18"/>
        <item t="data" sd="0" x="19"/>
        <item t="data" sd="0" x="20"/>
        <item t="data" sd="0" x="21"/>
        <item t="data" sd="0" x="22"/>
        <item t="data" sd="0" x="23"/>
        <item t="data" sd="0" x="24"/>
        <item t="data" sd="0" x="25"/>
      </items>
    </pivotField>
  </pivotFields>
  <rowFields count="1">
    <field x="6"/>
  </rowFields>
  <rowItems count="4">
    <i t="data" r="0" i="0">
      <x v="2"/>
    </i>
    <i t="data" r="0" i="0">
      <x v="0"/>
    </i>
    <i t="data" r="0" i="0">
      <x v="1"/>
    </i>
    <i t="data" r="0" i="0">
      <x v="3"/>
    </i>
  </rowItems>
  <colItems count="1">
    <i t="data" r="0" i="0"/>
  </colItems>
  <pageFields count="1">
    <pageField fld="18" item="0" hier="-1"/>
  </pageFields>
  <dataFields count="1">
    <dataField name="Count of Imaged Duration" fld="8" subtotal="count" showDataAs="normal" baseField="6" baseItem="0"/>
  </dataFields>
  <chartFormats count="1">
    <chartFormat chart="8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pivotTable" Target="/xl/pivotTables/pivotTable1.xml" Id="rId2"/><Relationship Type="http://schemas.openxmlformats.org/officeDocument/2006/relationships/pivotTable" Target="/xl/pivotTables/pivotTable2.xml" Id="rId3"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3.xml" Id="rId1"/><Relationship Type="http://schemas.openxmlformats.org/officeDocument/2006/relationships/pivotTable" Target="/xl/pivotTables/pivotTable4.xml" Id="rId2"/><Relationship Type="http://schemas.openxmlformats.org/officeDocument/2006/relationships/pivotTable" Target="/xl/pivotTables/pivotTable5.xml" Id="rId3"/><Relationship Type="http://schemas.openxmlformats.org/officeDocument/2006/relationships/pivotTable" Target="/xl/pivotTables/pivotTable6.xml" Id="rId4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34" t="inlineStr">
        <is>
          <t>SANITIZED DEMO (synthetic identifiers)</t>
        </is>
      </c>
    </row>
    <row r="3">
      <c r="A3" t="inlineStr">
        <is>
          <t>This workbook has been sanitized for portfolio demonstration. Location, store, and system identifiers are synthetic. Metrics/durations are preserved for analytical demonstration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B18"/>
  <sheetViews>
    <sheetView workbookViewId="0">
      <selection activeCell="M37" sqref="M17:O37"/>
    </sheetView>
  </sheetViews>
  <sheetFormatPr baseColWidth="8" defaultRowHeight="14.4"/>
  <cols>
    <col width="12.44140625" bestFit="1" customWidth="1" style="25" min="1" max="1"/>
    <col width="12" bestFit="1" customWidth="1" style="25" min="2" max="2"/>
  </cols>
  <sheetData>
    <row r="3">
      <c r="A3" s="8" t="inlineStr">
        <is>
          <t>Row Labels</t>
        </is>
      </c>
      <c r="B3" t="inlineStr">
        <is>
          <t>Average of Imaged Duration</t>
        </is>
      </c>
    </row>
    <row r="4">
      <c r="A4" s="9" t="inlineStr">
        <is>
          <t>&lt;1/0/1900</t>
        </is>
      </c>
    </row>
    <row r="5">
      <c r="A5" s="9" t="inlineStr">
        <is>
          <t>9 AM</t>
        </is>
      </c>
      <c r="B5" s="11" t="n">
        <v>0.01319444444444444</v>
      </c>
    </row>
    <row r="6">
      <c r="A6" s="9" t="inlineStr">
        <is>
          <t>10 AM</t>
        </is>
      </c>
      <c r="B6" s="11" t="n">
        <v>0.01193287037037037</v>
      </c>
    </row>
    <row r="7">
      <c r="A7" s="9" t="inlineStr">
        <is>
          <t>1 PM</t>
        </is>
      </c>
      <c r="B7" s="11" t="n">
        <v>0.01226851851851852</v>
      </c>
    </row>
    <row r="8">
      <c r="A8" s="9" t="inlineStr">
        <is>
          <t>2 PM</t>
        </is>
      </c>
      <c r="B8" s="11" t="n">
        <v>0.015625</v>
      </c>
    </row>
    <row r="9">
      <c r="A9" s="9" t="inlineStr">
        <is>
          <t>4 PM</t>
        </is>
      </c>
      <c r="B9" s="11" t="n">
        <v>0.01527777777777778</v>
      </c>
    </row>
    <row r="10">
      <c r="A10" s="9" t="inlineStr">
        <is>
          <t>Grand Total</t>
        </is>
      </c>
      <c r="B10" s="11" t="n">
        <v>0.01364793771043771</v>
      </c>
    </row>
    <row r="14">
      <c r="A14" s="8" t="inlineStr">
        <is>
          <t>Row Labels</t>
        </is>
      </c>
      <c r="B14" t="inlineStr">
        <is>
          <t>Count of Date</t>
        </is>
      </c>
    </row>
    <row r="15">
      <c r="A15" s="12" t="n">
        <v>46104</v>
      </c>
      <c r="B15" t="n">
        <v>6</v>
      </c>
    </row>
    <row r="16">
      <c r="A16" s="12" t="n">
        <v>46105</v>
      </c>
      <c r="B16" t="n">
        <v>5</v>
      </c>
    </row>
    <row r="17">
      <c r="A17" s="9" t="inlineStr">
        <is>
          <t>3/26/2026</t>
        </is>
      </c>
    </row>
    <row r="18">
      <c r="A18" s="9" t="inlineStr">
        <is>
          <t>Grand Total</t>
        </is>
      </c>
      <c r="B18" s="11" t="n">
        <v>11</v>
      </c>
    </row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20"/>
  <sheetViews>
    <sheetView workbookViewId="0">
      <selection activeCell="G14" sqref="G14"/>
    </sheetView>
  </sheetViews>
  <sheetFormatPr baseColWidth="8" defaultRowHeight="14.4"/>
  <cols>
    <col width="12.44140625" bestFit="1" customWidth="1" style="25" min="1" max="1"/>
    <col width="24.44140625" bestFit="1" customWidth="1" style="25" min="2" max="2"/>
    <col width="12.44140625" bestFit="1" customWidth="1" style="25" min="6" max="6"/>
    <col width="22.109375" bestFit="1" customWidth="1" style="25" min="7" max="7"/>
    <col width="10.5546875" bestFit="1" customWidth="1" style="25" min="8" max="8"/>
  </cols>
  <sheetData>
    <row r="2" ht="15.6" customHeight="1" s="25">
      <c r="A2" s="30" t="inlineStr">
        <is>
          <t>Average Imaging Duration by Image</t>
        </is>
      </c>
      <c r="F2" s="30" t="inlineStr">
        <is>
          <t>Imaging Duration Explained by RAM Tier (≤4‑Core Devices)</t>
        </is>
      </c>
    </row>
    <row r="3">
      <c r="A3" s="8" t="inlineStr">
        <is>
          <t>Process Type</t>
        </is>
      </c>
      <c r="B3" t="inlineStr">
        <is>
          <t>Production Imaging</t>
        </is>
      </c>
      <c r="F3" s="8" t="inlineStr">
        <is>
          <t>Process Type</t>
        </is>
      </c>
      <c r="G3" t="inlineStr">
        <is>
          <t>Production Imaging</t>
        </is>
      </c>
    </row>
    <row r="4">
      <c r="A4" s="26" t="n"/>
    </row>
    <row r="5" ht="43.2" customHeight="1" s="25">
      <c r="A5" s="8" t="inlineStr">
        <is>
          <t>Row Labels</t>
        </is>
      </c>
      <c r="B5" s="7" t="inlineStr">
        <is>
          <t>Average Imaging Duration by Image (Production Imaging)</t>
        </is>
      </c>
      <c r="E5" s="7" t="n"/>
      <c r="F5" s="31" t="inlineStr">
        <is>
          <t>Average of Imaged Duration</t>
        </is>
      </c>
      <c r="G5" s="8" t="inlineStr">
        <is>
          <t>Column Labels</t>
        </is>
      </c>
    </row>
    <row r="6">
      <c r="A6" s="9" t="inlineStr">
        <is>
          <t>SCO-7703</t>
        </is>
      </c>
      <c r="B6" s="6" t="n">
        <v>0.03055555555555555</v>
      </c>
      <c r="F6" s="8" t="inlineStr">
        <is>
          <t>Row Labels</t>
        </is>
      </c>
      <c r="G6" t="inlineStr">
        <is>
          <t>≤4</t>
        </is>
      </c>
    </row>
    <row r="7">
      <c r="A7" s="9" t="inlineStr">
        <is>
          <t>POS-7703</t>
        </is>
      </c>
      <c r="B7" s="6" t="n">
        <v>0.01680555555555556</v>
      </c>
      <c r="F7" s="9" t="inlineStr">
        <is>
          <t>16+</t>
        </is>
      </c>
      <c r="G7" s="6" t="n">
        <v>0.02222222222222222</v>
      </c>
    </row>
    <row r="8">
      <c r="A8" s="9" t="inlineStr">
        <is>
          <t>POS-7702</t>
        </is>
      </c>
      <c r="B8" s="6" t="n">
        <v>0.01614583333333333</v>
      </c>
      <c r="F8" s="9" t="inlineStr">
        <is>
          <t>4</t>
        </is>
      </c>
      <c r="G8" s="6" t="n">
        <v>0.02152777777777778</v>
      </c>
    </row>
    <row r="9">
      <c r="A9" s="9" t="inlineStr">
        <is>
          <t>SCO-7702</t>
        </is>
      </c>
      <c r="B9" s="6" t="n">
        <v>0.01295684027777778</v>
      </c>
      <c r="F9" s="9" t="inlineStr">
        <is>
          <t>12</t>
        </is>
      </c>
      <c r="G9" s="6" t="n">
        <v>0.01222170138888889</v>
      </c>
    </row>
    <row r="13" ht="15.6" customHeight="1" s="25">
      <c r="A13" s="32" t="inlineStr">
        <is>
          <t>Post‑Image Script Runtime (.BAT)</t>
        </is>
      </c>
      <c r="F13" s="29" t="inlineStr">
        <is>
          <t>Imaging Volume by Image</t>
        </is>
      </c>
    </row>
    <row r="14">
      <c r="A14" s="33" t="inlineStr">
        <is>
          <t>Process Type</t>
        </is>
      </c>
      <c r="B14" t="inlineStr">
        <is>
          <t>Production Imaging</t>
        </is>
      </c>
      <c r="F14" s="8" t="inlineStr">
        <is>
          <t>Process Type</t>
        </is>
      </c>
      <c r="G14" t="inlineStr">
        <is>
          <t>Production Imaging</t>
        </is>
      </c>
    </row>
    <row r="15">
      <c r="F15" s="26" t="n"/>
    </row>
    <row r="16">
      <c r="A16" s="8" t="inlineStr">
        <is>
          <t>Row Labels</t>
        </is>
      </c>
      <c r="B16" t="inlineStr">
        <is>
          <t>Average of .BAT  file duration</t>
        </is>
      </c>
      <c r="F16" s="8" t="inlineStr">
        <is>
          <t>Row Labels</t>
        </is>
      </c>
      <c r="G16" t="inlineStr">
        <is>
          <t>Count of Imaged Duration</t>
        </is>
      </c>
    </row>
    <row r="17">
      <c r="A17" s="9" t="inlineStr">
        <is>
          <t>SCO-7702</t>
        </is>
      </c>
      <c r="B17" s="27" t="n">
        <v>0.002532685185185185</v>
      </c>
      <c r="F17" s="9" t="inlineStr">
        <is>
          <t>SCO-7702</t>
        </is>
      </c>
      <c r="G17" t="n">
        <v>17</v>
      </c>
    </row>
    <row r="18">
      <c r="A18" s="9" t="inlineStr">
        <is>
          <t>SCO-7703</t>
        </is>
      </c>
      <c r="B18" s="27" t="n">
        <v>0.002430555555555556</v>
      </c>
      <c r="F18" s="9" t="inlineStr">
        <is>
          <t>POS-7702</t>
        </is>
      </c>
      <c r="G18" t="n">
        <v>12</v>
      </c>
    </row>
    <row r="19">
      <c r="A19" s="9" t="inlineStr">
        <is>
          <t>POS-7702</t>
        </is>
      </c>
      <c r="B19" s="27" t="n">
        <v>0.002199074074074074</v>
      </c>
      <c r="F19" s="9" t="inlineStr">
        <is>
          <t>POS-7703</t>
        </is>
      </c>
      <c r="G19" t="n">
        <v>5</v>
      </c>
    </row>
    <row r="20">
      <c r="A20" s="9" t="inlineStr">
        <is>
          <t>POS-7703</t>
        </is>
      </c>
      <c r="B20" s="27" t="n">
        <v>0.001805555555555555</v>
      </c>
      <c r="F20" s="9" t="inlineStr">
        <is>
          <t>SCO-7703</t>
        </is>
      </c>
      <c r="G20" t="n">
        <v>4</v>
      </c>
    </row>
  </sheetData>
  <pageMargins left="0.7" right="0.7" top="0.75" bottom="0.75" header="0.3" footer="0.3"/>
  <pageSetup orientation="portrait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32" sqref="Q32"/>
    </sheetView>
  </sheetViews>
  <sheetFormatPr baseColWidth="8" defaultRowHeight="14.4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6"/>
  <sheetViews>
    <sheetView tabSelected="1" topLeftCell="A7" zoomScale="96" workbookViewId="0">
      <selection activeCell="E28" sqref="E28"/>
    </sheetView>
  </sheetViews>
  <sheetFormatPr baseColWidth="8" defaultRowHeight="14.4"/>
  <cols>
    <col width="7.5546875" bestFit="1" customWidth="1" style="25" min="2" max="2"/>
    <col width="10.88671875" bestFit="1" customWidth="1" style="25" min="3" max="3"/>
    <col width="9.21875" bestFit="1" customWidth="1" style="25" min="4" max="4"/>
    <col width="14" customWidth="1" style="25" min="5" max="5"/>
    <col width="13.6640625" bestFit="1" customWidth="1" style="25" min="6" max="6"/>
    <col width="6.109375" bestFit="1" customWidth="1" style="25" min="7" max="7"/>
    <col width="8.6640625" bestFit="1" customWidth="1" style="25" min="8" max="8"/>
    <col width="14.77734375" bestFit="1" customWidth="1" style="25" min="9" max="9"/>
    <col width="15.5546875" bestFit="1" customWidth="1" style="25" min="10" max="10"/>
    <col width="6" bestFit="1" customWidth="1" style="25" min="11" max="11"/>
    <col width="15" bestFit="1" customWidth="1" style="15" min="12" max="12"/>
    <col width="17.109375" bestFit="1" customWidth="1" style="25" min="13" max="13"/>
    <col width="16.33203125" bestFit="1" customWidth="1" style="25" min="14" max="14"/>
    <col width="14.44140625" bestFit="1" customWidth="1" style="25" min="15" max="15"/>
    <col width="13.6640625" bestFit="1" customWidth="1" style="25" min="16" max="16"/>
    <col width="9.6640625" bestFit="1" customWidth="1" style="25" min="17" max="17"/>
    <col width="17.5546875" bestFit="1" customWidth="1" style="7" min="18" max="18"/>
  </cols>
  <sheetData>
    <row r="1">
      <c r="A1" t="inlineStr">
        <is>
          <t xml:space="preserve">Site </t>
        </is>
      </c>
      <c r="B1" s="18" t="inlineStr">
        <is>
          <t>Store ID</t>
        </is>
      </c>
      <c r="C1" t="inlineStr">
        <is>
          <t>Device Type</t>
        </is>
      </c>
      <c r="D1" s="15" t="inlineStr">
        <is>
          <t>Register #</t>
        </is>
      </c>
      <c r="E1" t="inlineStr">
        <is>
          <t>System Name</t>
        </is>
      </c>
      <c r="F1" t="inlineStr">
        <is>
          <t>Device Image #</t>
        </is>
      </c>
      <c r="G1" t="inlineStr">
        <is>
          <t>Image</t>
        </is>
      </c>
      <c r="H1" t="inlineStr">
        <is>
          <t>Dat file</t>
        </is>
      </c>
      <c r="I1" s="6" t="inlineStr">
        <is>
          <t>Imaged Duration</t>
        </is>
      </c>
      <c r="J1" s="6" t="inlineStr">
        <is>
          <t>.BAT  file duration</t>
        </is>
      </c>
      <c r="K1" s="21" t="inlineStr">
        <is>
          <t>RAM</t>
        </is>
      </c>
      <c r="L1" s="9" t="inlineStr">
        <is>
          <t>Processor Cores</t>
        </is>
      </c>
      <c r="M1" t="inlineStr">
        <is>
          <t>Start time (Imaging)</t>
        </is>
      </c>
      <c r="N1" t="inlineStr">
        <is>
          <t>End time (Imaging)</t>
        </is>
      </c>
      <c r="O1" t="inlineStr">
        <is>
          <t>Start time (.BAT)</t>
        </is>
      </c>
      <c r="P1" t="inlineStr">
        <is>
          <t>End time (.BAT)</t>
        </is>
      </c>
      <c r="Q1" t="inlineStr">
        <is>
          <t>Date</t>
        </is>
      </c>
      <c r="R1" s="7" t="inlineStr">
        <is>
          <t>Notes (optional)</t>
        </is>
      </c>
    </row>
    <row r="2" ht="28.8" customHeight="1" s="25">
      <c r="A2" s="7" t="inlineStr">
        <is>
          <t>N/A</t>
        </is>
      </c>
      <c r="B2" s="15" t="inlineStr">
        <is>
          <t>N/A</t>
        </is>
      </c>
      <c r="C2" s="7" t="inlineStr">
        <is>
          <t>SCO</t>
        </is>
      </c>
      <c r="D2" s="15" t="inlineStr">
        <is>
          <t>N/A</t>
        </is>
      </c>
      <c r="E2" s="1" t="inlineStr">
        <is>
          <t>N/A</t>
        </is>
      </c>
      <c r="F2" s="1" t="n">
        <v>7703</v>
      </c>
      <c r="G2" s="1" t="inlineStr">
        <is>
          <t>SCO-7703</t>
        </is>
      </c>
      <c r="H2" s="1" t="inlineStr">
        <is>
          <t>SCO.DAT</t>
        </is>
      </c>
      <c r="I2" s="5">
        <f>N2-M2</f>
        <v/>
      </c>
      <c r="J2" s="6" t="inlineStr">
        <is>
          <t>N/A</t>
        </is>
      </c>
      <c r="K2" s="20" t="inlineStr">
        <is>
          <t>16 GB</t>
        </is>
      </c>
      <c r="L2" s="15" t="n">
        <v>4</v>
      </c>
      <c r="M2" s="13" t="n">
        <v>0.39375</v>
      </c>
      <c r="N2" s="13" t="n">
        <v>0.4305555555555556</v>
      </c>
      <c r="O2" t="inlineStr">
        <is>
          <t>N/A</t>
        </is>
      </c>
      <c r="P2" t="inlineStr">
        <is>
          <t>N/A</t>
        </is>
      </c>
      <c r="Q2" s="3" t="n">
        <v>46114</v>
      </c>
      <c r="R2" s="7" t="inlineStr">
        <is>
          <t>Reimaging for GIL lab testing</t>
        </is>
      </c>
    </row>
    <row r="3" ht="28.8" customHeight="1" s="25">
      <c r="A3" s="1" t="inlineStr">
        <is>
          <t>Location810</t>
        </is>
      </c>
      <c r="B3" s="1" t="inlineStr">
        <is>
          <t>3363</t>
        </is>
      </c>
      <c r="C3" s="1" t="inlineStr">
        <is>
          <t>SCO</t>
        </is>
      </c>
      <c r="D3" s="7" t="n">
        <v>1</v>
      </c>
      <c r="E3" s="1" t="inlineStr">
        <is>
          <t>HOST9891</t>
        </is>
      </c>
      <c r="F3" s="1" t="n">
        <v>7703</v>
      </c>
      <c r="G3" s="1" t="inlineStr">
        <is>
          <t>SCO-7703</t>
        </is>
      </c>
      <c r="H3" s="1" t="inlineStr">
        <is>
          <t>SCO.DAT</t>
        </is>
      </c>
      <c r="I3" s="5">
        <f>N3-M3</f>
        <v/>
      </c>
      <c r="J3" s="6">
        <f>P3-O3</f>
        <v/>
      </c>
      <c r="K3" s="20" t="inlineStr">
        <is>
          <t>16 GB</t>
        </is>
      </c>
      <c r="L3" s="15" t="n">
        <v>2</v>
      </c>
      <c r="M3" s="13" t="n">
        <v>0.5756944444444444</v>
      </c>
      <c r="N3" s="13" t="n">
        <v>0.60625</v>
      </c>
      <c r="O3" s="13" t="n">
        <v>0.6090277777777777</v>
      </c>
      <c r="P3" s="13" t="n">
        <v>0.6118055555555556</v>
      </c>
      <c r="Q3" s="3" t="n">
        <v>46114</v>
      </c>
      <c r="R3" s="7" t="inlineStr">
        <is>
          <t xml:space="preserve">Requires manual bootup </t>
        </is>
      </c>
    </row>
    <row r="4" ht="43.2" customHeight="1" s="25">
      <c r="A4" s="1" t="inlineStr">
        <is>
          <t>Location383</t>
        </is>
      </c>
      <c r="B4" s="1" t="inlineStr">
        <is>
          <t>3507</t>
        </is>
      </c>
      <c r="C4" s="1" t="inlineStr">
        <is>
          <t>SCO</t>
        </is>
      </c>
      <c r="D4" s="7" t="n">
        <v>2</v>
      </c>
      <c r="E4" s="1" t="inlineStr">
        <is>
          <t>HOST8544</t>
        </is>
      </c>
      <c r="F4" s="1" t="n">
        <v>7702</v>
      </c>
      <c r="G4" s="1" t="inlineStr">
        <is>
          <t>SCO-7702</t>
        </is>
      </c>
      <c r="H4" s="1" t="inlineStr">
        <is>
          <t>SCO.DAT</t>
        </is>
      </c>
      <c r="I4" s="5">
        <f>N4-M4</f>
        <v/>
      </c>
      <c r="J4" s="6">
        <f>P4-O4</f>
        <v/>
      </c>
      <c r="K4" s="20" t="inlineStr">
        <is>
          <t>12 GB</t>
        </is>
      </c>
      <c r="L4" s="15" t="n">
        <v>4</v>
      </c>
      <c r="M4" s="13" t="n">
        <v>0.4034722222222222</v>
      </c>
      <c r="N4" s="13" t="n">
        <v>0.4159722222222222</v>
      </c>
      <c r="O4" s="13" t="n">
        <v>0.4652777777777778</v>
      </c>
      <c r="P4" s="13" t="n">
        <v>0.4673611111111111</v>
      </c>
      <c r="Q4" s="3" t="n">
        <v>46114</v>
      </c>
    </row>
    <row r="5" ht="28.8" customHeight="1" s="25">
      <c r="A5" s="1" t="inlineStr">
        <is>
          <t>Location309</t>
        </is>
      </c>
      <c r="B5" s="1" t="inlineStr">
        <is>
          <t>3909</t>
        </is>
      </c>
      <c r="C5" s="1" t="inlineStr">
        <is>
          <t>SCO</t>
        </is>
      </c>
      <c r="D5" s="7" t="n">
        <v>2</v>
      </c>
      <c r="E5" s="1" t="inlineStr">
        <is>
          <t>HOST2243</t>
        </is>
      </c>
      <c r="F5" s="1" t="n">
        <v>7703</v>
      </c>
      <c r="G5" s="1" t="inlineStr">
        <is>
          <t>SCO-7703</t>
        </is>
      </c>
      <c r="H5" s="1" t="inlineStr">
        <is>
          <t>SCO.DAT</t>
        </is>
      </c>
      <c r="I5" s="5">
        <f>N5-M5</f>
        <v/>
      </c>
      <c r="J5" s="6">
        <f>P5-O5</f>
        <v/>
      </c>
      <c r="K5" s="20" t="inlineStr">
        <is>
          <t>16 GB</t>
        </is>
      </c>
      <c r="L5" s="15" t="n">
        <v>2</v>
      </c>
      <c r="M5" s="13" t="n">
        <v>0.5298611111111111</v>
      </c>
      <c r="N5" s="13" t="n">
        <v>0.5604166666666667</v>
      </c>
      <c r="O5" s="13" t="n">
        <v>0.5638888888888889</v>
      </c>
      <c r="P5" s="13" t="n">
        <v>0.5666666666666667</v>
      </c>
      <c r="Q5" s="3" t="n">
        <v>46114</v>
      </c>
    </row>
    <row r="6" ht="28.8" customHeight="1" s="25">
      <c r="A6" s="1" t="inlineStr">
        <is>
          <t>N/A</t>
        </is>
      </c>
      <c r="B6" s="15" t="inlineStr">
        <is>
          <t>N/A</t>
        </is>
      </c>
      <c r="C6" s="1" t="inlineStr">
        <is>
          <t>SCO</t>
        </is>
      </c>
      <c r="D6" s="15" t="inlineStr">
        <is>
          <t>N/A</t>
        </is>
      </c>
      <c r="E6" s="1" t="inlineStr">
        <is>
          <t>N/A</t>
        </is>
      </c>
      <c r="F6" s="1" t="n">
        <v>7703</v>
      </c>
      <c r="G6" s="1" t="inlineStr">
        <is>
          <t>SCO-7703</t>
        </is>
      </c>
      <c r="H6" s="1" t="inlineStr">
        <is>
          <t>SCO.DAT</t>
        </is>
      </c>
      <c r="I6" s="5">
        <f>N6-M6</f>
        <v/>
      </c>
      <c r="J6" s="6" t="inlineStr">
        <is>
          <t>N/A</t>
        </is>
      </c>
      <c r="K6" s="20" t="inlineStr">
        <is>
          <t>16 GB</t>
        </is>
      </c>
      <c r="L6" s="15" t="n">
        <v>4</v>
      </c>
      <c r="M6" s="13" t="n">
        <v>0.4583333333333333</v>
      </c>
      <c r="N6" s="13" t="n">
        <v>0.5</v>
      </c>
      <c r="O6" t="inlineStr">
        <is>
          <t>N/A</t>
        </is>
      </c>
      <c r="P6" t="inlineStr">
        <is>
          <t>N/A</t>
        </is>
      </c>
      <c r="Q6" s="3" t="n">
        <v>46114</v>
      </c>
      <c r="R6" s="7" t="inlineStr">
        <is>
          <t xml:space="preserve">Reimaged for GIL lab testing </t>
        </is>
      </c>
    </row>
    <row r="7" ht="43.2" customHeight="1" s="25">
      <c r="A7" s="1" t="inlineStr">
        <is>
          <t>Location592</t>
        </is>
      </c>
      <c r="B7" s="1" t="inlineStr">
        <is>
          <t>3236</t>
        </is>
      </c>
      <c r="C7" s="1" t="inlineStr">
        <is>
          <t>In LANE</t>
        </is>
      </c>
      <c r="D7" s="7" t="n">
        <v>7</v>
      </c>
      <c r="E7" s="1" t="inlineStr">
        <is>
          <t>HOST4217</t>
        </is>
      </c>
      <c r="F7" s="1" t="n">
        <v>7702</v>
      </c>
      <c r="G7" s="1" t="inlineStr">
        <is>
          <t>POS-7702</t>
        </is>
      </c>
      <c r="H7" s="1" t="inlineStr">
        <is>
          <t>SAL.DAT</t>
        </is>
      </c>
      <c r="I7" s="5">
        <f>N7-M7</f>
        <v/>
      </c>
      <c r="J7" s="6">
        <f>P7-O7</f>
        <v/>
      </c>
      <c r="K7" s="20" t="inlineStr">
        <is>
          <t>12 GB</t>
        </is>
      </c>
      <c r="L7" s="15" t="n">
        <v>4</v>
      </c>
      <c r="M7" s="13" t="n">
        <v>0.5576388888888889</v>
      </c>
      <c r="N7" s="13" t="n">
        <v>0.5756944444444444</v>
      </c>
      <c r="O7" s="13" t="n">
        <v>0.58125</v>
      </c>
      <c r="P7" s="13" t="n">
        <v>0.5833333333333334</v>
      </c>
      <c r="Q7" s="3" t="n">
        <v>46114</v>
      </c>
    </row>
    <row r="8" ht="28.8" customHeight="1" s="25">
      <c r="A8" s="1" t="inlineStr">
        <is>
          <t>Location828</t>
        </is>
      </c>
      <c r="B8" s="1" t="inlineStr">
        <is>
          <t>8209</t>
        </is>
      </c>
      <c r="C8" s="1" t="inlineStr">
        <is>
          <t>In LANE</t>
        </is>
      </c>
      <c r="D8" s="7" t="n">
        <v>14</v>
      </c>
      <c r="E8" s="1" t="inlineStr">
        <is>
          <t>HOST7539</t>
        </is>
      </c>
      <c r="F8" s="1" t="n">
        <v>7703</v>
      </c>
      <c r="G8" s="1" t="inlineStr">
        <is>
          <t>POS-7703</t>
        </is>
      </c>
      <c r="H8" s="1" t="inlineStr">
        <is>
          <t>POS.DAT</t>
        </is>
      </c>
      <c r="I8" s="5">
        <f>N8-M8</f>
        <v/>
      </c>
      <c r="J8" s="6">
        <f>P8-O8</f>
        <v/>
      </c>
      <c r="K8" s="20" t="inlineStr">
        <is>
          <t>16 GB</t>
        </is>
      </c>
      <c r="L8" s="15" t="n">
        <v>2</v>
      </c>
      <c r="M8" s="13" t="n">
        <v>0.6444444444444445</v>
      </c>
      <c r="N8" s="13" t="n">
        <v>0.6597222222222222</v>
      </c>
      <c r="O8" s="13" t="n">
        <v>0.6673611111111111</v>
      </c>
      <c r="P8" s="13" t="n">
        <v>0.66875</v>
      </c>
      <c r="Q8" s="3" t="n">
        <v>46114</v>
      </c>
    </row>
    <row r="9" ht="28.8" customHeight="1" s="25">
      <c r="A9" s="1" t="inlineStr">
        <is>
          <t>Location301</t>
        </is>
      </c>
      <c r="B9" s="1" t="inlineStr">
        <is>
          <t>1458</t>
        </is>
      </c>
      <c r="C9" s="1" t="inlineStr">
        <is>
          <t>In LANE</t>
        </is>
      </c>
      <c r="D9" s="7" t="n">
        <v>4</v>
      </c>
      <c r="E9" s="1" t="inlineStr">
        <is>
          <t>HOST9554</t>
        </is>
      </c>
      <c r="F9" s="1" t="n">
        <v>7702</v>
      </c>
      <c r="G9" s="1" t="inlineStr">
        <is>
          <t>POS-7702</t>
        </is>
      </c>
      <c r="H9" s="1" t="inlineStr">
        <is>
          <t>SAL.DAT</t>
        </is>
      </c>
      <c r="I9" s="5">
        <f>N9-M9</f>
        <v/>
      </c>
      <c r="J9" s="6">
        <f>P9-O9</f>
        <v/>
      </c>
      <c r="K9" s="20" t="inlineStr">
        <is>
          <t>12 GB</t>
        </is>
      </c>
      <c r="L9" s="15" t="n">
        <v>4</v>
      </c>
      <c r="M9" s="13" t="n">
        <v>0.6256944444444444</v>
      </c>
      <c r="N9" s="13" t="n">
        <v>0.6388888888888888</v>
      </c>
      <c r="O9" s="13" t="n">
        <v>0.6409722222222223</v>
      </c>
      <c r="P9" s="13" t="n">
        <v>0.6423611111111112</v>
      </c>
      <c r="Q9" s="3" t="n">
        <v>46114</v>
      </c>
    </row>
    <row r="10" ht="28.8" customHeight="1" s="25">
      <c r="A10" s="1" t="inlineStr">
        <is>
          <t>Location654</t>
        </is>
      </c>
      <c r="B10" s="1" t="inlineStr">
        <is>
          <t>7107</t>
        </is>
      </c>
      <c r="C10" s="1" t="inlineStr">
        <is>
          <t>SCO</t>
        </is>
      </c>
      <c r="D10" s="7" t="n">
        <v>1</v>
      </c>
      <c r="E10" s="1" t="inlineStr">
        <is>
          <t>HOST4816</t>
        </is>
      </c>
      <c r="F10" s="1" t="n">
        <v>7702</v>
      </c>
      <c r="G10" s="1" t="inlineStr">
        <is>
          <t>SCO-7702</t>
        </is>
      </c>
      <c r="H10" s="1" t="inlineStr">
        <is>
          <t>SCO.DAT</t>
        </is>
      </c>
      <c r="I10" s="5">
        <f>N10-M10</f>
        <v/>
      </c>
      <c r="J10" s="6">
        <f>P10-O10</f>
        <v/>
      </c>
      <c r="K10" s="20" t="inlineStr">
        <is>
          <t>4 GB</t>
        </is>
      </c>
      <c r="L10" s="15" t="n">
        <v>2</v>
      </c>
      <c r="M10" s="13" t="n">
        <v>0.5770833333333333</v>
      </c>
      <c r="N10" s="13" t="n">
        <v>0.5958333333333333</v>
      </c>
      <c r="O10" s="13" t="n">
        <v>0.6034722222222222</v>
      </c>
      <c r="P10" s="13" t="n">
        <v>0.6076388888888888</v>
      </c>
      <c r="Q10" s="3" t="n">
        <v>46114</v>
      </c>
    </row>
    <row r="11" ht="28.8" customHeight="1" s="25">
      <c r="A11" s="1" t="inlineStr">
        <is>
          <t>N/A</t>
        </is>
      </c>
      <c r="B11" t="inlineStr">
        <is>
          <t>N/A</t>
        </is>
      </c>
      <c r="C11" s="1" t="inlineStr">
        <is>
          <t>POS</t>
        </is>
      </c>
      <c r="D11" t="inlineStr">
        <is>
          <t>N/A</t>
        </is>
      </c>
      <c r="E11" s="1" t="inlineStr">
        <is>
          <t>N/A</t>
        </is>
      </c>
      <c r="F11" s="1" t="n">
        <v>7702</v>
      </c>
      <c r="G11" s="1" t="inlineStr">
        <is>
          <t>POS-7702</t>
        </is>
      </c>
      <c r="H11" s="1" t="inlineStr">
        <is>
          <t>POS.DAT</t>
        </is>
      </c>
      <c r="I11" s="5">
        <f>N11-M11</f>
        <v/>
      </c>
      <c r="J11" s="6" t="inlineStr">
        <is>
          <t>N/A</t>
        </is>
      </c>
      <c r="K11" s="20" t="inlineStr">
        <is>
          <t>16 GB</t>
        </is>
      </c>
      <c r="L11" s="15" t="n">
        <v>4</v>
      </c>
      <c r="M11" s="13" t="n">
        <v>0.6006944444444444</v>
      </c>
      <c r="N11" s="13" t="n">
        <v>0.6118055555555556</v>
      </c>
      <c r="O11" t="inlineStr">
        <is>
          <t>N/A</t>
        </is>
      </c>
      <c r="P11" t="inlineStr">
        <is>
          <t>N/A</t>
        </is>
      </c>
      <c r="Q11" s="3" t="n">
        <v>46114</v>
      </c>
      <c r="R11" s="7" t="inlineStr">
        <is>
          <t xml:space="preserve">Reimaged for GIL lab testing </t>
        </is>
      </c>
    </row>
    <row r="12" ht="28.8" customHeight="1" s="25">
      <c r="A12" s="1" t="inlineStr">
        <is>
          <t>Location564</t>
        </is>
      </c>
      <c r="B12" s="1" t="inlineStr">
        <is>
          <t>9615</t>
        </is>
      </c>
      <c r="C12" s="1" t="inlineStr">
        <is>
          <t>SCO</t>
        </is>
      </c>
      <c r="D12" s="7" t="n">
        <v>6</v>
      </c>
      <c r="E12" s="1" t="inlineStr">
        <is>
          <t>HOST7263</t>
        </is>
      </c>
      <c r="F12" s="1" t="n">
        <v>7702</v>
      </c>
      <c r="G12" s="1" t="inlineStr">
        <is>
          <t>SCO-7702</t>
        </is>
      </c>
      <c r="H12" s="1" t="inlineStr">
        <is>
          <t>SCO.DAT</t>
        </is>
      </c>
      <c r="I12" s="5">
        <f>N12-M12</f>
        <v/>
      </c>
      <c r="J12" s="6">
        <f>P12-O12</f>
        <v/>
      </c>
      <c r="K12" s="20" t="inlineStr">
        <is>
          <t>12 GB</t>
        </is>
      </c>
      <c r="L12" s="15" t="n">
        <v>4</v>
      </c>
      <c r="M12" s="13" t="n">
        <v>0.4361111111111111</v>
      </c>
      <c r="N12" s="13" t="n">
        <v>0.4472222222222222</v>
      </c>
      <c r="O12" s="13" t="n">
        <v>0.4513888888888889</v>
      </c>
      <c r="P12" s="13" t="n">
        <v>0.4534722222222222</v>
      </c>
      <c r="Q12" s="3" t="n">
        <v>46119</v>
      </c>
    </row>
    <row r="13" ht="28.8" customHeight="1" s="25">
      <c r="A13" s="1" t="inlineStr">
        <is>
          <t>Location256</t>
        </is>
      </c>
      <c r="B13" s="1" t="inlineStr">
        <is>
          <t>8101</t>
        </is>
      </c>
      <c r="C13" s="1" t="inlineStr">
        <is>
          <t>In LANE</t>
        </is>
      </c>
      <c r="D13" s="7" t="n">
        <v>16</v>
      </c>
      <c r="E13" s="1" t="inlineStr">
        <is>
          <t>HOST3265</t>
        </is>
      </c>
      <c r="F13" s="1" t="n">
        <v>7702</v>
      </c>
      <c r="G13" s="1" t="inlineStr">
        <is>
          <t>POS-7702</t>
        </is>
      </c>
      <c r="H13" s="1" t="inlineStr">
        <is>
          <t>POS.DAT</t>
        </is>
      </c>
      <c r="I13" s="5">
        <f>N13-M13</f>
        <v/>
      </c>
      <c r="J13" s="6">
        <f>P13-O13</f>
        <v/>
      </c>
      <c r="K13" s="20" t="inlineStr">
        <is>
          <t>4 GB</t>
        </is>
      </c>
      <c r="L13" s="15" t="n">
        <v>2</v>
      </c>
      <c r="M13" s="13" t="n">
        <v>0.4361111111111111</v>
      </c>
      <c r="N13" s="13" t="n">
        <v>0.4583333333333333</v>
      </c>
      <c r="O13" s="13" t="n">
        <v>0.4604166666666666</v>
      </c>
      <c r="P13" s="13" t="n">
        <v>0.4638888888888889</v>
      </c>
      <c r="Q13" s="3" t="n">
        <v>46119</v>
      </c>
    </row>
    <row r="14" ht="28.8" customHeight="1" s="25">
      <c r="A14" s="1" t="inlineStr">
        <is>
          <t>Location785</t>
        </is>
      </c>
      <c r="B14" s="1" t="inlineStr">
        <is>
          <t>3457</t>
        </is>
      </c>
      <c r="C14" s="1" t="inlineStr">
        <is>
          <t>Wireless</t>
        </is>
      </c>
      <c r="D14" s="7" t="n">
        <v>2</v>
      </c>
      <c r="E14" s="1" t="inlineStr">
        <is>
          <t>HOST4677</t>
        </is>
      </c>
      <c r="F14" s="1" t="n">
        <v>7702</v>
      </c>
      <c r="G14" s="1" t="inlineStr">
        <is>
          <t>POS-7702</t>
        </is>
      </c>
      <c r="H14" s="1" t="inlineStr">
        <is>
          <t>POS.DAT</t>
        </is>
      </c>
      <c r="I14" s="5">
        <f>N14-M14</f>
        <v/>
      </c>
      <c r="J14" s="6">
        <f>P14-O14</f>
        <v/>
      </c>
      <c r="K14" s="20" t="inlineStr">
        <is>
          <t>12 GB</t>
        </is>
      </c>
      <c r="L14" s="15" t="n">
        <v>4</v>
      </c>
      <c r="M14" s="13" t="n">
        <v>0.5444444444444444</v>
      </c>
      <c r="N14" s="13" t="n">
        <v>0.5597222222222222</v>
      </c>
      <c r="O14" s="13" t="n">
        <v>0.5638888888888889</v>
      </c>
      <c r="P14" s="13" t="n">
        <v>0.5659722222222222</v>
      </c>
      <c r="Q14" s="3" t="n">
        <v>46119</v>
      </c>
    </row>
    <row r="15" ht="28.8" customHeight="1" s="25">
      <c r="A15" s="1" t="inlineStr">
        <is>
          <t>Location596</t>
        </is>
      </c>
      <c r="B15" s="1" t="inlineStr">
        <is>
          <t>6385</t>
        </is>
      </c>
      <c r="C15" s="1" t="inlineStr">
        <is>
          <t>In LANE</t>
        </is>
      </c>
      <c r="D15" s="7" t="n">
        <v>2</v>
      </c>
      <c r="E15" s="1" t="inlineStr">
        <is>
          <t>HOST9573</t>
        </is>
      </c>
      <c r="F15" s="1" t="n">
        <v>7702</v>
      </c>
      <c r="G15" s="1" t="inlineStr">
        <is>
          <t>POS-7702</t>
        </is>
      </c>
      <c r="H15" s="1" t="inlineStr">
        <is>
          <t>POS.DAT</t>
        </is>
      </c>
      <c r="I15" s="5">
        <f>N15-M15</f>
        <v/>
      </c>
      <c r="J15" s="6">
        <f>P15-O15</f>
        <v/>
      </c>
      <c r="K15" s="20" t="inlineStr">
        <is>
          <t>12 GB</t>
        </is>
      </c>
      <c r="L15" s="15" t="n">
        <v>4</v>
      </c>
      <c r="M15" s="13" t="n">
        <v>0.5173611111111112</v>
      </c>
      <c r="N15" s="13" t="n">
        <v>0.53125</v>
      </c>
      <c r="O15" s="13" t="n">
        <v>0.5354166666666667</v>
      </c>
      <c r="P15" s="13" t="n">
        <v>0.5375</v>
      </c>
      <c r="Q15" s="3" t="n">
        <v>46119</v>
      </c>
    </row>
    <row r="16" ht="28.8" customHeight="1" s="25">
      <c r="A16" s="1" t="inlineStr">
        <is>
          <t>Location378</t>
        </is>
      </c>
      <c r="B16" s="1" t="inlineStr">
        <is>
          <t>2399</t>
        </is>
      </c>
      <c r="C16" s="1" t="inlineStr">
        <is>
          <t>SCO</t>
        </is>
      </c>
      <c r="D16" s="7" t="n">
        <v>1</v>
      </c>
      <c r="E16" s="1" t="inlineStr">
        <is>
          <t>HOST4943</t>
        </is>
      </c>
      <c r="F16" s="1" t="n">
        <v>7702</v>
      </c>
      <c r="G16" s="1" t="inlineStr">
        <is>
          <t>SCO-7702</t>
        </is>
      </c>
      <c r="H16" s="1" t="inlineStr">
        <is>
          <t>SCO.DAT</t>
        </is>
      </c>
      <c r="I16" s="5">
        <f>N16-M16</f>
        <v/>
      </c>
      <c r="J16" s="6">
        <f>P16-O16</f>
        <v/>
      </c>
      <c r="K16" s="20" t="inlineStr">
        <is>
          <t>12 GB</t>
        </is>
      </c>
      <c r="L16" s="15" t="n">
        <v>4</v>
      </c>
      <c r="M16" s="13" t="n">
        <v>0.4604166666666666</v>
      </c>
      <c r="N16" s="13" t="n">
        <v>0.4701388888888889</v>
      </c>
      <c r="O16" s="13" t="n">
        <v>0.4756944444444444</v>
      </c>
      <c r="P16" s="13" t="n">
        <v>0.4777777777777778</v>
      </c>
      <c r="Q16" s="3" t="n">
        <v>46119</v>
      </c>
    </row>
    <row r="17" ht="43.2" customHeight="1" s="25">
      <c r="A17" s="1" t="inlineStr">
        <is>
          <t>Location637</t>
        </is>
      </c>
      <c r="B17" s="1" t="inlineStr">
        <is>
          <t>2854</t>
        </is>
      </c>
      <c r="C17" s="1" t="inlineStr">
        <is>
          <t>In LANE</t>
        </is>
      </c>
      <c r="D17" s="7" t="n">
        <v>2</v>
      </c>
      <c r="E17" s="1" t="inlineStr">
        <is>
          <t>HOST2883</t>
        </is>
      </c>
      <c r="F17" s="1" t="n">
        <v>7702</v>
      </c>
      <c r="G17" s="1" t="inlineStr">
        <is>
          <t>POS-7702</t>
        </is>
      </c>
      <c r="H17" s="1" t="inlineStr">
        <is>
          <t>POS.DAT</t>
        </is>
      </c>
      <c r="I17" s="5">
        <f>N17-M17</f>
        <v/>
      </c>
      <c r="J17" s="6">
        <f>P17-O17</f>
        <v/>
      </c>
      <c r="K17" s="20" t="inlineStr">
        <is>
          <t>12 GB</t>
        </is>
      </c>
      <c r="L17" s="15" t="n">
        <v>4</v>
      </c>
      <c r="M17" s="13" t="n">
        <v>0.4902777777777778</v>
      </c>
      <c r="N17" s="13" t="n">
        <v>0.5041666666666667</v>
      </c>
      <c r="O17" s="13" t="n">
        <v>0.50625</v>
      </c>
      <c r="P17" s="13" t="n">
        <v>0.5083333333333333</v>
      </c>
      <c r="Q17" s="3" t="n">
        <v>46119</v>
      </c>
    </row>
    <row r="18" ht="28.8" customHeight="1" s="25">
      <c r="A18" s="1" t="inlineStr">
        <is>
          <t>N/A</t>
        </is>
      </c>
      <c r="B18" t="inlineStr">
        <is>
          <t>N/A</t>
        </is>
      </c>
      <c r="C18" s="1" t="inlineStr">
        <is>
          <t>POS</t>
        </is>
      </c>
      <c r="D18" t="inlineStr">
        <is>
          <t>N/A</t>
        </is>
      </c>
      <c r="E18" s="1" t="inlineStr">
        <is>
          <t>N/A</t>
        </is>
      </c>
      <c r="F18" s="1" t="n">
        <v>7702</v>
      </c>
      <c r="G18" s="1" t="inlineStr">
        <is>
          <t>POS-7702</t>
        </is>
      </c>
      <c r="H18" s="1" t="inlineStr">
        <is>
          <t>POS.DAT</t>
        </is>
      </c>
      <c r="I18" s="5">
        <f>N18-M18</f>
        <v/>
      </c>
      <c r="J18" s="6" t="inlineStr">
        <is>
          <t>N/A</t>
        </is>
      </c>
      <c r="K18" s="20" t="inlineStr">
        <is>
          <t>16 GB</t>
        </is>
      </c>
      <c r="L18" s="15" t="n">
        <v>4</v>
      </c>
      <c r="M18" s="13" t="n">
        <v>0.4736111111111111</v>
      </c>
      <c r="N18" s="13" t="n">
        <v>0.4840277777777778</v>
      </c>
      <c r="O18" t="inlineStr">
        <is>
          <t>N/A</t>
        </is>
      </c>
      <c r="P18" t="inlineStr">
        <is>
          <t>N/A</t>
        </is>
      </c>
      <c r="Q18" s="3" t="n">
        <v>46119</v>
      </c>
      <c r="R18" s="7" t="inlineStr">
        <is>
          <t xml:space="preserve">Reimaged for GIL lab testing </t>
        </is>
      </c>
    </row>
    <row r="19" ht="43.2" customHeight="1" s="25">
      <c r="A19" s="1" t="inlineStr">
        <is>
          <t>Location067</t>
        </is>
      </c>
      <c r="B19" t="inlineStr">
        <is>
          <t>6514</t>
        </is>
      </c>
      <c r="C19" s="1" t="inlineStr">
        <is>
          <t>SCO</t>
        </is>
      </c>
      <c r="D19" s="7" t="n">
        <v>2</v>
      </c>
      <c r="E19" s="1" t="inlineStr">
        <is>
          <t>HOST4827</t>
        </is>
      </c>
      <c r="F19" s="1" t="n">
        <v>7702</v>
      </c>
      <c r="G19" s="1" t="inlineStr">
        <is>
          <t>SCO-7702</t>
        </is>
      </c>
      <c r="H19" s="1" t="inlineStr">
        <is>
          <t>SCO.DAT</t>
        </is>
      </c>
      <c r="I19" s="5">
        <f>N19-M19</f>
        <v/>
      </c>
      <c r="J19" s="6">
        <f>P19-O19</f>
        <v/>
      </c>
      <c r="K19" s="20" t="inlineStr">
        <is>
          <t>12 GB</t>
        </is>
      </c>
      <c r="L19" s="15" t="n">
        <v>4</v>
      </c>
      <c r="M19" s="13" t="n">
        <v>0.5201388888888889</v>
      </c>
      <c r="N19" s="13" t="n">
        <v>0.5319444444444444</v>
      </c>
      <c r="O19" s="13" t="n">
        <v>0.5340277777777778</v>
      </c>
      <c r="P19" s="13" t="n">
        <v>0.5361111111111111</v>
      </c>
      <c r="Q19" s="3" t="n">
        <v>46121</v>
      </c>
    </row>
    <row r="20" ht="28.8" customHeight="1" s="25">
      <c r="A20" s="1" t="inlineStr">
        <is>
          <t>Location571</t>
        </is>
      </c>
      <c r="B20" s="1" t="inlineStr">
        <is>
          <t>1570</t>
        </is>
      </c>
      <c r="C20" s="1" t="inlineStr">
        <is>
          <t>SCO</t>
        </is>
      </c>
      <c r="D20" s="1" t="n">
        <v>1</v>
      </c>
      <c r="E20" s="1" t="inlineStr">
        <is>
          <t>HOST1544</t>
        </is>
      </c>
      <c r="F20" s="1" t="n">
        <v>7702</v>
      </c>
      <c r="G20" s="1" t="inlineStr">
        <is>
          <t>SCO-7702</t>
        </is>
      </c>
      <c r="H20" s="1" t="inlineStr">
        <is>
          <t>SCO.DAT</t>
        </is>
      </c>
      <c r="I20" s="5">
        <f>N20-M20</f>
        <v/>
      </c>
      <c r="J20" s="6">
        <f>P20-O20</f>
        <v/>
      </c>
      <c r="K20" s="20" t="inlineStr">
        <is>
          <t>12 GB</t>
        </is>
      </c>
      <c r="L20" s="15" t="n">
        <v>4</v>
      </c>
      <c r="M20" s="13" t="n">
        <v>0.5208333333333334</v>
      </c>
      <c r="N20" s="13" t="n">
        <v>0.5298611111111111</v>
      </c>
      <c r="O20" s="13" t="n">
        <v>0.53125</v>
      </c>
      <c r="P20" s="13" t="n">
        <v>0.5340277777777778</v>
      </c>
      <c r="Q20" s="3" t="n">
        <v>46125</v>
      </c>
    </row>
    <row r="21" ht="28.8" customHeight="1" s="25">
      <c r="A21" s="1" t="inlineStr">
        <is>
          <t>Location828</t>
        </is>
      </c>
      <c r="B21" s="1" t="inlineStr">
        <is>
          <t>8209</t>
        </is>
      </c>
      <c r="C21" s="1" t="inlineStr">
        <is>
          <t>SCO</t>
        </is>
      </c>
      <c r="D21" s="1" t="n">
        <v>5</v>
      </c>
      <c r="E21" s="1" t="inlineStr">
        <is>
          <t>HOST5236</t>
        </is>
      </c>
      <c r="F21" s="1" t="n">
        <v>7703</v>
      </c>
      <c r="G21" s="1" t="inlineStr">
        <is>
          <t>SCO-7703</t>
        </is>
      </c>
      <c r="H21" s="1" t="inlineStr">
        <is>
          <t>SCO.DAT</t>
        </is>
      </c>
      <c r="I21" s="5">
        <f>N21-M21</f>
        <v/>
      </c>
      <c r="J21" s="6">
        <f>P21-O21</f>
        <v/>
      </c>
      <c r="K21" s="20" t="inlineStr">
        <is>
          <t>16 GB</t>
        </is>
      </c>
      <c r="L21" s="15" t="n">
        <v>2</v>
      </c>
      <c r="M21" s="13" t="n">
        <v>0.4666666666666667</v>
      </c>
      <c r="N21" s="13" t="n">
        <v>0.4972222222222222</v>
      </c>
      <c r="O21" s="13" t="n">
        <v>0.5048611111111111</v>
      </c>
      <c r="P21" s="13" t="n">
        <v>0.5069444444444444</v>
      </c>
      <c r="Q21" s="3" t="n">
        <v>46128</v>
      </c>
    </row>
    <row r="22" ht="43.2" customHeight="1" s="25">
      <c r="A22" s="1" t="inlineStr">
        <is>
          <t>Location637</t>
        </is>
      </c>
      <c r="B22" s="1" t="inlineStr">
        <is>
          <t>2854</t>
        </is>
      </c>
      <c r="C22" s="1" t="inlineStr">
        <is>
          <t>In LANE</t>
        </is>
      </c>
      <c r="D22" s="1" t="n">
        <v>2</v>
      </c>
      <c r="E22" s="1" t="inlineStr">
        <is>
          <t>HOST2883</t>
        </is>
      </c>
      <c r="F22" s="1" t="n">
        <v>7702</v>
      </c>
      <c r="G22" s="1" t="inlineStr">
        <is>
          <t>POS-7702</t>
        </is>
      </c>
      <c r="H22" s="1" t="inlineStr">
        <is>
          <t>POS.DAT</t>
        </is>
      </c>
      <c r="I22" s="5">
        <f>N22-M22</f>
        <v/>
      </c>
      <c r="J22" s="6">
        <f>P22-O22</f>
        <v/>
      </c>
      <c r="K22" t="inlineStr">
        <is>
          <t>12 GB</t>
        </is>
      </c>
      <c r="L22" s="15" t="n">
        <v>4</v>
      </c>
      <c r="M22" s="13" t="n">
        <v>0.5583333333333333</v>
      </c>
      <c r="N22" s="13" t="n">
        <v>0.5736111111111111</v>
      </c>
      <c r="O22" s="13" t="n">
        <v>0.5756944444444444</v>
      </c>
      <c r="P22" s="13" t="n">
        <v>0.5777777777777777</v>
      </c>
      <c r="Q22" s="3" t="n">
        <v>46128</v>
      </c>
    </row>
    <row r="23" ht="43.2" customHeight="1" s="25">
      <c r="A23" s="1" t="inlineStr">
        <is>
          <t>Location225</t>
        </is>
      </c>
      <c r="B23" s="1" t="inlineStr">
        <is>
          <t>5524</t>
        </is>
      </c>
      <c r="C23" s="1" t="inlineStr">
        <is>
          <t>SCO Attendant Station</t>
        </is>
      </c>
      <c r="D23" s="1" t="n">
        <v>1</v>
      </c>
      <c r="E23" s="1" t="inlineStr">
        <is>
          <t>HOST9602</t>
        </is>
      </c>
      <c r="F23" s="1" t="n">
        <v>7703</v>
      </c>
      <c r="G23" s="1" t="inlineStr">
        <is>
          <t>POS-7703</t>
        </is>
      </c>
      <c r="H23" s="1" t="inlineStr">
        <is>
          <t>SCOA.DAT*</t>
        </is>
      </c>
      <c r="I23" s="5">
        <f>N23-M23</f>
        <v/>
      </c>
      <c r="J23" s="6">
        <f>P23-O23</f>
        <v/>
      </c>
      <c r="K23" s="20" t="inlineStr">
        <is>
          <t>16 GB</t>
        </is>
      </c>
      <c r="L23" s="15" t="n">
        <v>2</v>
      </c>
      <c r="M23" s="13" t="n">
        <v>0.5805555555555556</v>
      </c>
      <c r="N23" s="13" t="n">
        <v>0.5972222222222222</v>
      </c>
      <c r="O23" s="13" t="n">
        <v>0.6041666666666666</v>
      </c>
      <c r="P23" s="13" t="n">
        <v>0.60625</v>
      </c>
      <c r="Q23" s="3" t="n">
        <v>46128</v>
      </c>
    </row>
    <row r="24" ht="28.8" customHeight="1" s="25">
      <c r="A24" s="1" t="inlineStr">
        <is>
          <t>Location367</t>
        </is>
      </c>
      <c r="B24" s="1" t="inlineStr">
        <is>
          <t>4989</t>
        </is>
      </c>
      <c r="C24" s="1" t="inlineStr">
        <is>
          <t>In LANE</t>
        </is>
      </c>
      <c r="D24" s="1" t="n">
        <v>1</v>
      </c>
      <c r="E24" s="1" t="inlineStr">
        <is>
          <t>HOST3927</t>
        </is>
      </c>
      <c r="F24" s="1" t="n">
        <v>7702</v>
      </c>
      <c r="G24" s="1" t="inlineStr">
        <is>
          <t>POS-7702</t>
        </is>
      </c>
      <c r="H24" s="1" t="inlineStr">
        <is>
          <t>POS.DAT</t>
        </is>
      </c>
      <c r="I24" s="5">
        <f>N24-M24</f>
        <v/>
      </c>
      <c r="J24" s="6">
        <f>P24-O24</f>
        <v/>
      </c>
      <c r="K24" s="20" t="inlineStr">
        <is>
          <t>16 GB</t>
        </is>
      </c>
      <c r="L24" s="15" t="n">
        <v>2</v>
      </c>
      <c r="M24" s="13" t="n">
        <v>0.6055555555555555</v>
      </c>
      <c r="N24" s="13" t="n">
        <v>0.6215277777777778</v>
      </c>
      <c r="O24" s="13" t="n">
        <v>0.625</v>
      </c>
      <c r="P24" s="13" t="n">
        <v>0.6270833333333333</v>
      </c>
      <c r="Q24" s="3" t="n">
        <v>46132</v>
      </c>
    </row>
    <row r="25" ht="43.2" customHeight="1" s="25">
      <c r="A25" s="1" t="inlineStr">
        <is>
          <t>Location806</t>
        </is>
      </c>
      <c r="B25" s="1" t="inlineStr">
        <is>
          <t>7189</t>
        </is>
      </c>
      <c r="C25" s="1" t="inlineStr">
        <is>
          <t>CSR</t>
        </is>
      </c>
      <c r="D25" s="1" t="n">
        <v>1</v>
      </c>
      <c r="E25" s="1" t="inlineStr">
        <is>
          <t>HOST4626</t>
        </is>
      </c>
      <c r="F25" s="1" t="n">
        <v>7703</v>
      </c>
      <c r="G25" s="1" t="inlineStr">
        <is>
          <t>POS-7703</t>
        </is>
      </c>
      <c r="H25" s="1" t="inlineStr">
        <is>
          <t>CSR.DAT</t>
        </is>
      </c>
      <c r="I25" s="5">
        <f>N25-M25</f>
        <v/>
      </c>
      <c r="J25" s="6">
        <f>P25-O25</f>
        <v/>
      </c>
      <c r="K25" s="20" t="inlineStr">
        <is>
          <t>16 GB</t>
        </is>
      </c>
      <c r="L25" s="15" t="n">
        <v>2</v>
      </c>
      <c r="M25" s="13" t="n">
        <v>0.5743055555555555</v>
      </c>
      <c r="N25" s="13" t="n">
        <v>0.5930555555555556</v>
      </c>
      <c r="O25" s="13" t="n">
        <v>0.6</v>
      </c>
      <c r="P25" s="13" t="n">
        <v>0.6020833333333333</v>
      </c>
      <c r="Q25" s="3" t="n">
        <v>46132</v>
      </c>
    </row>
    <row r="26" ht="28.8" customHeight="1" s="25">
      <c r="A26" s="1" t="inlineStr">
        <is>
          <t>Location859</t>
        </is>
      </c>
      <c r="B26" s="1" t="inlineStr">
        <is>
          <t>2109</t>
        </is>
      </c>
      <c r="C26" s="1" t="inlineStr">
        <is>
          <t>SCO</t>
        </is>
      </c>
      <c r="D26" s="1" t="n">
        <v>2</v>
      </c>
      <c r="E26" s="1" t="inlineStr">
        <is>
          <t>HOST8003</t>
        </is>
      </c>
      <c r="F26" s="1" t="n">
        <v>7702</v>
      </c>
      <c r="G26" s="1" t="inlineStr">
        <is>
          <t>SCO-7702</t>
        </is>
      </c>
      <c r="H26" s="1" t="inlineStr">
        <is>
          <t>SCO.DAT</t>
        </is>
      </c>
      <c r="I26" s="5">
        <f>N26-M26</f>
        <v/>
      </c>
      <c r="J26" s="6">
        <f>P26-O26</f>
        <v/>
      </c>
      <c r="K26" t="inlineStr">
        <is>
          <t>12 GB</t>
        </is>
      </c>
      <c r="L26" s="15" t="n">
        <v>4</v>
      </c>
      <c r="M26" s="13" t="n">
        <v>0.5743055555555555</v>
      </c>
      <c r="N26" s="13" t="n">
        <v>0.5847222222222223</v>
      </c>
      <c r="O26" s="13" t="n">
        <v>0.5868055555555556</v>
      </c>
      <c r="P26" s="13" t="n">
        <v>0.5888888888888889</v>
      </c>
      <c r="Q26" s="3" t="n">
        <v>46132</v>
      </c>
    </row>
  </sheetData>
  <autoFilter ref="A1:R18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7"/>
  <sheetViews>
    <sheetView topLeftCell="A8" zoomScale="94" workbookViewId="0">
      <selection activeCell="G13" sqref="G13"/>
    </sheetView>
  </sheetViews>
  <sheetFormatPr baseColWidth="8" defaultRowHeight="14.4"/>
  <cols>
    <col width="8.88671875" customWidth="1" style="25" min="1" max="1"/>
    <col width="8.88671875" customWidth="1" style="15" min="2" max="2"/>
    <col width="11.109375" customWidth="1" style="25" min="3" max="3"/>
    <col width="8.88671875" customWidth="1" style="15" min="4" max="4"/>
    <col width="11.5546875" customWidth="1" style="25" min="5" max="5"/>
    <col width="17.77734375" customWidth="1" style="25" min="6" max="6"/>
    <col width="10.109375" customWidth="1" style="25" min="7" max="7"/>
    <col width="14.6640625" customWidth="1" style="6" min="9" max="9"/>
    <col width="17.6640625" customWidth="1" style="6" min="10" max="10"/>
    <col width="17.6640625" customWidth="1" style="20" min="11" max="11"/>
    <col width="18.21875" customWidth="1" style="15" min="12" max="12"/>
    <col width="17.109375" customWidth="1" style="25" min="13" max="13"/>
    <col width="17" customWidth="1" style="25" min="14" max="14"/>
    <col width="14.88671875" customWidth="1" style="25" min="15" max="15"/>
    <col width="13.33203125" customWidth="1" style="25" min="16" max="16"/>
    <col width="11.109375" customWidth="1" style="25" min="17" max="17"/>
    <col width="17.6640625" customWidth="1" style="25" min="18" max="18"/>
  </cols>
  <sheetData>
    <row r="1">
      <c r="A1" t="inlineStr">
        <is>
          <t xml:space="preserve">Site </t>
        </is>
      </c>
      <c r="B1" s="18" t="inlineStr">
        <is>
          <t>Store ID</t>
        </is>
      </c>
      <c r="C1" t="inlineStr">
        <is>
          <t>Device Type</t>
        </is>
      </c>
      <c r="D1" s="15" t="inlineStr">
        <is>
          <t>Register #</t>
        </is>
      </c>
      <c r="E1" t="inlineStr">
        <is>
          <t>System Name</t>
        </is>
      </c>
      <c r="F1" t="inlineStr">
        <is>
          <t>Device Image #</t>
        </is>
      </c>
      <c r="G1" t="inlineStr">
        <is>
          <t>Image</t>
        </is>
      </c>
      <c r="H1" t="inlineStr">
        <is>
          <t>Dat file</t>
        </is>
      </c>
      <c r="I1" s="6" t="inlineStr">
        <is>
          <t>Imaged Duration</t>
        </is>
      </c>
      <c r="J1" s="6" t="inlineStr">
        <is>
          <t>.BAT  file duration</t>
        </is>
      </c>
      <c r="K1" s="21" t="inlineStr">
        <is>
          <t>RAM</t>
        </is>
      </c>
      <c r="L1" s="22" t="inlineStr">
        <is>
          <t>Processor Cores</t>
        </is>
      </c>
      <c r="M1" t="inlineStr">
        <is>
          <t>Start time (Imaging)</t>
        </is>
      </c>
      <c r="N1" t="inlineStr">
        <is>
          <t>End time (Imaging)</t>
        </is>
      </c>
      <c r="O1" t="inlineStr">
        <is>
          <t>Start time (.BAT)</t>
        </is>
      </c>
      <c r="P1" t="inlineStr">
        <is>
          <t>End time (.BAT)</t>
        </is>
      </c>
      <c r="Q1" t="inlineStr">
        <is>
          <t>Date</t>
        </is>
      </c>
      <c r="R1" t="inlineStr">
        <is>
          <t>Notes (optional)</t>
        </is>
      </c>
    </row>
    <row r="2" ht="43.2" customHeight="1" s="25">
      <c r="A2" s="7" t="inlineStr">
        <is>
          <t>Location780</t>
        </is>
      </c>
      <c r="B2" s="17" t="inlineStr">
        <is>
          <t>6915</t>
        </is>
      </c>
      <c r="C2" s="7" t="inlineStr">
        <is>
          <t>SCO</t>
        </is>
      </c>
      <c r="D2" s="16" t="n">
        <v>6</v>
      </c>
      <c r="E2" s="1" t="inlineStr">
        <is>
          <t>HOST1266</t>
        </is>
      </c>
      <c r="F2" s="1" t="n">
        <v>7702</v>
      </c>
      <c r="G2" s="1" t="inlineStr">
        <is>
          <t>SCO-7702</t>
        </is>
      </c>
      <c r="H2" s="1" t="inlineStr">
        <is>
          <t>SCO.DAT</t>
        </is>
      </c>
      <c r="I2" s="5">
        <f>N2-M2</f>
        <v/>
      </c>
      <c r="J2" s="6">
        <f>P2-O2</f>
        <v/>
      </c>
      <c r="K2" s="20" t="inlineStr">
        <is>
          <t>12 GB</t>
        </is>
      </c>
      <c r="L2" s="15" t="n">
        <v>4</v>
      </c>
      <c r="M2" s="13" t="n">
        <v>0.575</v>
      </c>
      <c r="N2" s="13" t="n">
        <v>0.5854166666666667</v>
      </c>
      <c r="O2" s="13" t="n">
        <v>0.5930555555555556</v>
      </c>
      <c r="P2" s="13" t="n">
        <v>0.5951388888888889</v>
      </c>
      <c r="Q2" s="3" t="n">
        <v>46104</v>
      </c>
    </row>
    <row r="3" ht="28.8" customHeight="1" s="25">
      <c r="A3" s="7" t="inlineStr">
        <is>
          <t>Location828</t>
        </is>
      </c>
      <c r="B3" s="17" t="inlineStr">
        <is>
          <t>8209</t>
        </is>
      </c>
      <c r="C3" s="7" t="inlineStr">
        <is>
          <t>SCO</t>
        </is>
      </c>
      <c r="D3" s="16" t="n">
        <v>5</v>
      </c>
      <c r="E3" s="1" t="inlineStr">
        <is>
          <t>HOST5236</t>
        </is>
      </c>
      <c r="F3" s="1" t="n">
        <v>7702</v>
      </c>
      <c r="G3" s="1" t="inlineStr">
        <is>
          <t>SCO-7702</t>
        </is>
      </c>
      <c r="H3" s="1" t="inlineStr">
        <is>
          <t>SCO.DAT</t>
        </is>
      </c>
      <c r="I3" s="5">
        <f>N3-M3</f>
        <v/>
      </c>
      <c r="J3" s="6">
        <f>P3-O3</f>
        <v/>
      </c>
      <c r="K3" s="20" t="inlineStr">
        <is>
          <t>12 GB</t>
        </is>
      </c>
      <c r="L3" s="15" t="n">
        <v>4</v>
      </c>
      <c r="M3" s="13" t="n">
        <v>0.6090277777777777</v>
      </c>
      <c r="N3" s="13" t="n">
        <v>0.6201388888888889</v>
      </c>
      <c r="O3" s="13" t="n">
        <v>0.6243055555555556</v>
      </c>
      <c r="P3" s="13" t="n">
        <v>0.6263888888888889</v>
      </c>
      <c r="Q3" s="3" t="n">
        <v>46104</v>
      </c>
    </row>
    <row r="4" ht="28.8" customHeight="1" s="25">
      <c r="A4" s="7" t="inlineStr">
        <is>
          <t>Location564</t>
        </is>
      </c>
      <c r="B4" s="17" t="inlineStr">
        <is>
          <t>9615</t>
        </is>
      </c>
      <c r="C4" s="7" t="inlineStr">
        <is>
          <t>SCO</t>
        </is>
      </c>
      <c r="D4" s="16" t="n">
        <v>4</v>
      </c>
      <c r="E4" s="1" t="inlineStr">
        <is>
          <t>HOST0949</t>
        </is>
      </c>
      <c r="F4" s="1" t="n">
        <v>7702</v>
      </c>
      <c r="G4" s="1" t="inlineStr">
        <is>
          <t>SCO-7702</t>
        </is>
      </c>
      <c r="H4" s="1" t="inlineStr">
        <is>
          <t>SCO.DAT</t>
        </is>
      </c>
      <c r="I4" s="5">
        <f>N4-M4</f>
        <v/>
      </c>
      <c r="J4" s="6">
        <f>P4-O4</f>
        <v/>
      </c>
      <c r="K4" s="20" t="inlineStr">
        <is>
          <t>12 GB</t>
        </is>
      </c>
      <c r="L4" s="15" t="n">
        <v>4</v>
      </c>
      <c r="M4" s="13" t="n">
        <v>0.3826388888888889</v>
      </c>
      <c r="N4" s="13" t="n">
        <v>0.3944444444444444</v>
      </c>
      <c r="O4" s="23" t="n">
        <v>0.3958333333333333</v>
      </c>
      <c r="P4" s="13" t="n">
        <v>0.3986111111111111</v>
      </c>
      <c r="Q4" s="3" t="n">
        <v>46105</v>
      </c>
    </row>
    <row r="5" ht="28.8" customHeight="1" s="25">
      <c r="A5" s="7" t="inlineStr">
        <is>
          <t>Location136</t>
        </is>
      </c>
      <c r="B5" s="17" t="inlineStr">
        <is>
          <t>1190</t>
        </is>
      </c>
      <c r="C5" s="7" t="inlineStr">
        <is>
          <t>SCO</t>
        </is>
      </c>
      <c r="D5" s="16" t="n">
        <v>3</v>
      </c>
      <c r="E5" s="1" t="inlineStr">
        <is>
          <t>HOST5956</t>
        </is>
      </c>
      <c r="F5" s="1" t="n">
        <v>7702</v>
      </c>
      <c r="G5" s="1" t="inlineStr">
        <is>
          <t>SCO-7702</t>
        </is>
      </c>
      <c r="H5" s="1" t="inlineStr">
        <is>
          <t>SCO.DAT</t>
        </is>
      </c>
      <c r="I5" s="5">
        <f>N5-M5</f>
        <v/>
      </c>
      <c r="J5" s="6">
        <f>P5-O5</f>
        <v/>
      </c>
      <c r="K5" s="20" t="inlineStr">
        <is>
          <t>12 GB</t>
        </is>
      </c>
      <c r="L5" s="15" t="n">
        <v>4</v>
      </c>
      <c r="M5" s="13" t="n">
        <v>0.6819444444444445</v>
      </c>
      <c r="N5" s="13" t="n">
        <v>0.6930555555555555</v>
      </c>
      <c r="O5" s="13" t="n">
        <v>0.6972222222222222</v>
      </c>
      <c r="P5" s="13" t="n">
        <v>0.6993055555555555</v>
      </c>
      <c r="Q5" s="3" t="n">
        <v>46104</v>
      </c>
    </row>
    <row r="6" ht="28.8" customHeight="1" s="25">
      <c r="A6" s="7" t="inlineStr">
        <is>
          <t>Location962</t>
        </is>
      </c>
      <c r="B6" s="17" t="inlineStr">
        <is>
          <t>4095</t>
        </is>
      </c>
      <c r="C6" s="7" t="inlineStr">
        <is>
          <t>SCO</t>
        </is>
      </c>
      <c r="D6" s="16" t="n">
        <v>2</v>
      </c>
      <c r="E6" s="1" t="inlineStr">
        <is>
          <t>HOST3865</t>
        </is>
      </c>
      <c r="F6" s="1" t="n">
        <v>7702</v>
      </c>
      <c r="G6" s="1" t="inlineStr">
        <is>
          <t>SCO-7702</t>
        </is>
      </c>
      <c r="H6" s="1" t="inlineStr">
        <is>
          <t>SCO.DAT</t>
        </is>
      </c>
      <c r="I6" s="5">
        <f>N6-M6</f>
        <v/>
      </c>
      <c r="J6" s="6">
        <f>P6-O6</f>
        <v/>
      </c>
      <c r="K6" s="20" t="inlineStr">
        <is>
          <t>12 GB</t>
        </is>
      </c>
      <c r="L6" s="15" t="n">
        <v>4</v>
      </c>
      <c r="M6" s="13" t="n">
        <v>0.40625</v>
      </c>
      <c r="N6" s="13" t="n">
        <v>0.4173611111111111</v>
      </c>
      <c r="O6" s="13" t="n">
        <v>0.4201388888888889</v>
      </c>
      <c r="P6" s="13" t="n">
        <v>0.4222222222222222</v>
      </c>
      <c r="Q6" s="3" t="n">
        <v>46105</v>
      </c>
    </row>
    <row r="7" ht="43.2" customHeight="1" s="25">
      <c r="A7" s="7" t="inlineStr">
        <is>
          <t>Location592</t>
        </is>
      </c>
      <c r="B7" s="17" t="inlineStr">
        <is>
          <t>3236</t>
        </is>
      </c>
      <c r="C7" s="7" t="inlineStr">
        <is>
          <t>SCO</t>
        </is>
      </c>
      <c r="D7" s="16" t="n">
        <v>3</v>
      </c>
      <c r="E7" s="1" t="inlineStr">
        <is>
          <t>HOST8026</t>
        </is>
      </c>
      <c r="F7" s="1" t="n">
        <v>7702</v>
      </c>
      <c r="G7" s="1" t="inlineStr">
        <is>
          <t>SCO-7702</t>
        </is>
      </c>
      <c r="H7" s="1" t="inlineStr">
        <is>
          <t>SCO.DAT</t>
        </is>
      </c>
      <c r="I7" s="5">
        <f>N7-M7</f>
        <v/>
      </c>
      <c r="J7" s="6">
        <f>P7-O7</f>
        <v/>
      </c>
      <c r="K7" s="20" t="inlineStr">
        <is>
          <t>12 GB</t>
        </is>
      </c>
      <c r="L7" s="15" t="n">
        <v>4</v>
      </c>
      <c r="M7" s="13" t="n">
        <v>0.43125</v>
      </c>
      <c r="N7" s="13" t="n">
        <v>0.4431828703703704</v>
      </c>
      <c r="O7" s="13" t="n">
        <v>0.4430555555555555</v>
      </c>
      <c r="P7" s="13" t="n">
        <v>0.4451388888888889</v>
      </c>
      <c r="Q7" s="3" t="n">
        <v>46105</v>
      </c>
    </row>
    <row r="8" ht="115.2" customHeight="1" s="25">
      <c r="A8" s="7" t="inlineStr">
        <is>
          <t>Location137</t>
        </is>
      </c>
      <c r="B8" s="17" t="inlineStr">
        <is>
          <t>4626</t>
        </is>
      </c>
      <c r="C8" s="7" t="inlineStr">
        <is>
          <t>In LANE</t>
        </is>
      </c>
      <c r="D8" s="16" t="n">
        <v>2</v>
      </c>
      <c r="E8" s="1" t="inlineStr">
        <is>
          <t>HOST1274</t>
        </is>
      </c>
      <c r="F8" s="1" t="n">
        <v>7703</v>
      </c>
      <c r="G8" s="1" t="inlineStr">
        <is>
          <t>POS-7703</t>
        </is>
      </c>
      <c r="H8" s="1" t="inlineStr">
        <is>
          <t>POS.DAT</t>
        </is>
      </c>
      <c r="I8" s="5">
        <f>N8-M8</f>
        <v/>
      </c>
      <c r="J8" s="6">
        <f>P8-O8</f>
        <v/>
      </c>
      <c r="K8" s="20" t="inlineStr">
        <is>
          <t>`16 GB</t>
        </is>
      </c>
      <c r="L8" s="15" t="n">
        <v>2</v>
      </c>
      <c r="M8" s="13" t="n">
        <v>0.575</v>
      </c>
      <c r="N8" s="13" t="n">
        <v>0.5916666666666667</v>
      </c>
      <c r="O8" s="13" t="n">
        <v>0.5972222222222222</v>
      </c>
      <c r="P8" s="13" t="n">
        <v>0.5993055555555555</v>
      </c>
      <c r="Q8" s="3" t="n">
        <v>46104</v>
      </c>
      <c r="R8" s="7" t="inlineStr">
        <is>
          <t>Boot configuration must be verified prior to imaging; otherwise the system may display a ‘no boot/image’ black screen on startup.</t>
        </is>
      </c>
    </row>
    <row r="9" ht="28.8" customHeight="1" s="25">
      <c r="A9" s="7" t="inlineStr">
        <is>
          <t>Location348</t>
        </is>
      </c>
      <c r="B9" s="17" t="inlineStr">
        <is>
          <t>4844</t>
        </is>
      </c>
      <c r="C9" s="7" t="inlineStr">
        <is>
          <t>In LANE</t>
        </is>
      </c>
      <c r="D9" s="16" t="n">
        <v>3</v>
      </c>
      <c r="E9" s="1" t="inlineStr">
        <is>
          <t>HOST9859</t>
        </is>
      </c>
      <c r="F9" s="1" t="n">
        <v>7702</v>
      </c>
      <c r="G9" s="1" t="inlineStr">
        <is>
          <t>POS-7702</t>
        </is>
      </c>
      <c r="H9" s="1" t="inlineStr">
        <is>
          <t>POS.DAT</t>
        </is>
      </c>
      <c r="I9" s="5">
        <f>N9-M9</f>
        <v/>
      </c>
      <c r="J9" s="6">
        <f>P9-O9</f>
        <v/>
      </c>
      <c r="K9" s="20" t="inlineStr">
        <is>
          <t>4 GB</t>
        </is>
      </c>
      <c r="L9" s="15" t="n">
        <v>2</v>
      </c>
      <c r="M9" s="13" t="n">
        <v>0.6097222222222223</v>
      </c>
      <c r="N9" s="13" t="n">
        <v>0.6298611111111111</v>
      </c>
      <c r="O9" s="13" t="n">
        <v>0.6354166666666666</v>
      </c>
      <c r="P9" s="13" t="n">
        <v>0.6381944444444444</v>
      </c>
      <c r="Q9" s="3" t="n">
        <v>46104</v>
      </c>
    </row>
    <row r="10" ht="28.8" customHeight="1" s="25">
      <c r="A10" s="7" t="inlineStr">
        <is>
          <t>Location256</t>
        </is>
      </c>
      <c r="B10" s="17" t="inlineStr">
        <is>
          <t>8101</t>
        </is>
      </c>
      <c r="C10" s="7" t="inlineStr">
        <is>
          <t>In LANE</t>
        </is>
      </c>
      <c r="D10" s="16" t="n">
        <v>18</v>
      </c>
      <c r="E10" s="1" t="inlineStr">
        <is>
          <t>HOST6685</t>
        </is>
      </c>
      <c r="F10" s="1" t="n">
        <v>7702</v>
      </c>
      <c r="G10" s="1" t="inlineStr">
        <is>
          <t>POS-7702</t>
        </is>
      </c>
      <c r="H10" s="1" t="inlineStr">
        <is>
          <t>POS.DAT</t>
        </is>
      </c>
      <c r="I10" s="5">
        <f>N10-M10</f>
        <v/>
      </c>
      <c r="J10" s="6">
        <f>P10-O10</f>
        <v/>
      </c>
      <c r="K10" s="20" t="inlineStr">
        <is>
          <t>4 GB</t>
        </is>
      </c>
      <c r="L10" s="15" t="n">
        <v>2</v>
      </c>
      <c r="M10" s="13" t="n">
        <v>0.6826388888888889</v>
      </c>
      <c r="N10" s="13" t="n">
        <v>0.7020833333333333</v>
      </c>
      <c r="O10" s="13" t="n">
        <v>0.7076388888888889</v>
      </c>
      <c r="P10" s="13" t="n">
        <v>0.7104166666666667</v>
      </c>
      <c r="Q10" s="3" t="n">
        <v>46104</v>
      </c>
    </row>
    <row r="11" ht="28.8" customHeight="1" s="25">
      <c r="A11" s="7" t="inlineStr">
        <is>
          <t>Location137</t>
        </is>
      </c>
      <c r="B11" s="17" t="inlineStr">
        <is>
          <t>4626</t>
        </is>
      </c>
      <c r="C11" s="7" t="inlineStr">
        <is>
          <t>In LANE</t>
        </is>
      </c>
      <c r="D11" s="16" t="n">
        <v>3</v>
      </c>
      <c r="E11" s="1" t="inlineStr">
        <is>
          <t>HOST0785</t>
        </is>
      </c>
      <c r="F11" s="1" t="n">
        <v>7703</v>
      </c>
      <c r="G11" s="1" t="inlineStr">
        <is>
          <t>POS-7703</t>
        </is>
      </c>
      <c r="H11" s="1" t="inlineStr">
        <is>
          <t>POS.DAT</t>
        </is>
      </c>
      <c r="I11" s="5">
        <f>N11-M11</f>
        <v/>
      </c>
      <c r="J11" s="6">
        <f>P11-O11</f>
        <v/>
      </c>
      <c r="K11" s="20" t="inlineStr">
        <is>
          <t>16 GB</t>
        </is>
      </c>
      <c r="L11" s="15" t="n">
        <v>2</v>
      </c>
      <c r="M11" s="13" t="n">
        <v>0.3833333333333334</v>
      </c>
      <c r="N11" s="13" t="n">
        <v>0.4</v>
      </c>
      <c r="O11" s="13" t="n">
        <v>0.4076388888888889</v>
      </c>
      <c r="P11" s="13" t="n">
        <v>0.4090277777777778</v>
      </c>
      <c r="Q11" s="3" t="n">
        <v>46105</v>
      </c>
    </row>
    <row r="12" ht="28.8" customHeight="1" s="25">
      <c r="A12" s="7" t="inlineStr">
        <is>
          <t>Location859</t>
        </is>
      </c>
      <c r="B12" s="17" t="inlineStr">
        <is>
          <t>2109</t>
        </is>
      </c>
      <c r="C12" s="7" t="inlineStr">
        <is>
          <t>SCO</t>
        </is>
      </c>
      <c r="D12" s="16" t="n">
        <v>5</v>
      </c>
      <c r="E12" s="1" t="inlineStr">
        <is>
          <t>HOST4661</t>
        </is>
      </c>
      <c r="F12" s="1" t="n">
        <v>7702</v>
      </c>
      <c r="G12" s="1" t="inlineStr">
        <is>
          <t>SCO-7702</t>
        </is>
      </c>
      <c r="H12" s="1" t="inlineStr">
        <is>
          <t>SCO.DAT</t>
        </is>
      </c>
      <c r="I12" s="5">
        <f>N12-M12</f>
        <v/>
      </c>
      <c r="J12" s="6">
        <f>P12-O12</f>
        <v/>
      </c>
      <c r="K12" s="20" t="inlineStr">
        <is>
          <t>12 GB</t>
        </is>
      </c>
      <c r="L12" s="15" t="n">
        <v>4</v>
      </c>
      <c r="M12" s="13" t="n">
        <v>0.5576388888888889</v>
      </c>
      <c r="N12" s="13" t="n">
        <v>0.5673611111111111</v>
      </c>
      <c r="O12" s="13" t="n">
        <v>0.5694444444444444</v>
      </c>
      <c r="P12" s="13" t="n">
        <v>0.5715277777777777</v>
      </c>
      <c r="Q12" s="3" t="n">
        <v>46105</v>
      </c>
    </row>
    <row r="13" ht="57.6" customHeight="1" s="25">
      <c r="A13" s="7" t="inlineStr">
        <is>
          <t>N/A</t>
        </is>
      </c>
      <c r="B13" s="15" t="inlineStr">
        <is>
          <t>N/A</t>
        </is>
      </c>
      <c r="C13" s="7" t="inlineStr">
        <is>
          <t>POS</t>
        </is>
      </c>
      <c r="D13" s="15" t="inlineStr">
        <is>
          <t>N/A</t>
        </is>
      </c>
      <c r="E13" s="7" t="inlineStr">
        <is>
          <t>N/A</t>
        </is>
      </c>
      <c r="F13" s="1" t="n">
        <v>7702</v>
      </c>
      <c r="G13" s="1" t="inlineStr">
        <is>
          <t>POS-7702</t>
        </is>
      </c>
      <c r="H13" s="1" t="inlineStr">
        <is>
          <t>POS.DAT</t>
        </is>
      </c>
      <c r="I13" s="5">
        <f>N13-M13</f>
        <v/>
      </c>
      <c r="J13" s="14" t="inlineStr">
        <is>
          <t>N/A</t>
        </is>
      </c>
      <c r="K13" s="14" t="inlineStr">
        <is>
          <t>12 GB</t>
        </is>
      </c>
      <c r="L13" s="15" t="n">
        <v>4</v>
      </c>
      <c r="M13" s="13" t="n">
        <v>0.5402777777777777</v>
      </c>
      <c r="N13" s="13" t="n">
        <v>0.5541666666666667</v>
      </c>
      <c r="O13" s="13" t="inlineStr">
        <is>
          <t>N/A</t>
        </is>
      </c>
      <c r="P13" s="13" t="inlineStr">
        <is>
          <t>N/A</t>
        </is>
      </c>
      <c r="Q13" s="3" t="n">
        <v>46107</v>
      </c>
      <c r="R13" s="7" t="inlineStr">
        <is>
          <t xml:space="preserve">Drive partition deleted and reimaged with POS 7702 </t>
        </is>
      </c>
    </row>
    <row r="14" ht="28.8" customHeight="1" s="25">
      <c r="A14" s="7" t="inlineStr">
        <is>
          <t>Location406</t>
        </is>
      </c>
      <c r="B14" s="17" t="inlineStr">
        <is>
          <t>6168</t>
        </is>
      </c>
      <c r="C14" s="7" t="inlineStr">
        <is>
          <t>In LANE</t>
        </is>
      </c>
      <c r="D14" s="16" t="n">
        <v>6</v>
      </c>
      <c r="E14" s="1" t="inlineStr">
        <is>
          <t>HOST9102</t>
        </is>
      </c>
      <c r="F14" s="1" t="n">
        <v>7702</v>
      </c>
      <c r="G14" s="1" t="inlineStr">
        <is>
          <t>POS-7702</t>
        </is>
      </c>
      <c r="H14" s="1" t="inlineStr">
        <is>
          <t>POS.DAT</t>
        </is>
      </c>
      <c r="I14" s="5">
        <f>N14-M14</f>
        <v/>
      </c>
      <c r="J14" s="6">
        <f>P14-O14</f>
        <v/>
      </c>
      <c r="K14" s="20" t="inlineStr">
        <is>
          <t>12 GB</t>
        </is>
      </c>
      <c r="L14" s="15" t="n">
        <v>4</v>
      </c>
      <c r="M14" s="13" t="n">
        <v>0.5791666666666667</v>
      </c>
      <c r="N14" s="13" t="n">
        <v>0.5916666666666667</v>
      </c>
      <c r="O14" s="13" t="n">
        <v>0.5972222222222222</v>
      </c>
      <c r="P14" s="13" t="n">
        <v>0.5986111111111111</v>
      </c>
      <c r="Q14" s="3" t="n">
        <v>46111</v>
      </c>
    </row>
    <row r="15" ht="28.8" customHeight="1" s="25">
      <c r="A15" s="7" t="inlineStr">
        <is>
          <t>Location493</t>
        </is>
      </c>
      <c r="B15" s="17" t="inlineStr">
        <is>
          <t>3331</t>
        </is>
      </c>
      <c r="C15" s="7" t="inlineStr">
        <is>
          <t>SCO attendant</t>
        </is>
      </c>
      <c r="D15" s="16" t="n">
        <v>1</v>
      </c>
      <c r="E15" s="1" t="inlineStr">
        <is>
          <t>HOST6503</t>
        </is>
      </c>
      <c r="F15" s="1" t="n">
        <v>7702</v>
      </c>
      <c r="G15" s="1" t="inlineStr">
        <is>
          <t>POS-7702</t>
        </is>
      </c>
      <c r="H15" s="1" t="inlineStr">
        <is>
          <t>SAL.DAT</t>
        </is>
      </c>
      <c r="I15" s="5">
        <f>N15-M15</f>
        <v/>
      </c>
      <c r="J15" s="6">
        <f>P15-O15</f>
        <v/>
      </c>
      <c r="K15" s="20" t="inlineStr">
        <is>
          <t>12 GB</t>
        </is>
      </c>
      <c r="L15" s="15" t="n">
        <v>4</v>
      </c>
      <c r="M15" s="13" t="n">
        <v>0.6298611111111111</v>
      </c>
      <c r="N15" s="13" t="n">
        <v>0.64375</v>
      </c>
      <c r="O15" s="13" t="n">
        <v>0.6451388888888889</v>
      </c>
      <c r="P15" s="13" t="n">
        <v>0.6472222222222223</v>
      </c>
      <c r="Q15" s="3" t="n">
        <v>46111</v>
      </c>
    </row>
    <row r="16" ht="28.8" customHeight="1" s="25">
      <c r="A16" s="7" t="inlineStr">
        <is>
          <t>Location828</t>
        </is>
      </c>
      <c r="B16" s="17" t="inlineStr">
        <is>
          <t>8209</t>
        </is>
      </c>
      <c r="C16" s="7" t="inlineStr">
        <is>
          <t>SCO</t>
        </is>
      </c>
      <c r="D16" s="16" t="n">
        <v>5</v>
      </c>
      <c r="E16" s="1" t="inlineStr">
        <is>
          <t>HOST5236</t>
        </is>
      </c>
      <c r="F16" s="1" t="n">
        <v>7703</v>
      </c>
      <c r="G16" s="1" t="inlineStr">
        <is>
          <t>SCO-7703</t>
        </is>
      </c>
      <c r="H16" s="1" t="inlineStr">
        <is>
          <t>SCO.DAT</t>
        </is>
      </c>
      <c r="I16" s="5">
        <f>N16-M16</f>
        <v/>
      </c>
      <c r="J16" s="6">
        <f>P16-O16</f>
        <v/>
      </c>
      <c r="K16" s="20" t="inlineStr">
        <is>
          <t>16 GB</t>
        </is>
      </c>
      <c r="L16" s="15" t="n">
        <v>2</v>
      </c>
      <c r="M16" s="13" t="n">
        <v>0.5006944444444444</v>
      </c>
      <c r="N16" s="13" t="n">
        <v>0.53125</v>
      </c>
      <c r="O16" s="13" t="n">
        <v>0.5333333333333333</v>
      </c>
      <c r="P16" s="13" t="n">
        <v>0.5354166666666667</v>
      </c>
      <c r="Q16" s="3" t="n">
        <v>46112</v>
      </c>
    </row>
    <row r="17" ht="28.8" customHeight="1" s="25">
      <c r="A17" s="7" t="inlineStr">
        <is>
          <t>Location564</t>
        </is>
      </c>
      <c r="B17" s="17" t="inlineStr">
        <is>
          <t>9615</t>
        </is>
      </c>
      <c r="C17" s="7" t="inlineStr">
        <is>
          <t>SCO</t>
        </is>
      </c>
      <c r="D17" s="16" t="n">
        <v>8</v>
      </c>
      <c r="E17" s="1" t="inlineStr">
        <is>
          <t>HOST7263</t>
        </is>
      </c>
      <c r="F17" s="1" t="n">
        <v>7702</v>
      </c>
      <c r="G17" s="1" t="inlineStr">
        <is>
          <t>SCO-7702</t>
        </is>
      </c>
      <c r="H17" s="1" t="inlineStr">
        <is>
          <t>SCO.DAT</t>
        </is>
      </c>
      <c r="I17" s="5">
        <f>N17-M17</f>
        <v/>
      </c>
      <c r="J17" s="6">
        <f>P17-O17</f>
        <v/>
      </c>
      <c r="K17" s="20" t="inlineStr">
        <is>
          <t>4 GB</t>
        </is>
      </c>
      <c r="L17" s="15" t="n">
        <v>2</v>
      </c>
      <c r="M17" s="13" t="n">
        <v>0.6291666666666667</v>
      </c>
      <c r="N17" s="13" t="n">
        <v>0.6604166666666667</v>
      </c>
      <c r="O17" s="13" t="n">
        <v>0.6652777777777777</v>
      </c>
      <c r="P17" s="13" t="n">
        <v>0.6701388888888888</v>
      </c>
      <c r="Q17" s="3" t="n">
        <v>46111</v>
      </c>
    </row>
    <row r="18" ht="28.8" customHeight="1" s="25">
      <c r="A18" s="7" t="inlineStr">
        <is>
          <t>Location564</t>
        </is>
      </c>
      <c r="B18" s="17" t="inlineStr">
        <is>
          <t>9615</t>
        </is>
      </c>
      <c r="C18" s="7" t="inlineStr">
        <is>
          <t>SCO</t>
        </is>
      </c>
      <c r="D18" s="16" t="n">
        <v>6</v>
      </c>
      <c r="E18" s="1" t="inlineStr">
        <is>
          <t>HOST5338</t>
        </is>
      </c>
      <c r="F18" s="1" t="n">
        <v>7702</v>
      </c>
      <c r="G18" s="1" t="inlineStr">
        <is>
          <t>SCO-7702</t>
        </is>
      </c>
      <c r="H18" s="1" t="inlineStr">
        <is>
          <t>SCO.DAT</t>
        </is>
      </c>
      <c r="I18" s="5">
        <f>N18-M18</f>
        <v/>
      </c>
      <c r="J18" s="6">
        <f>P18-O18</f>
        <v/>
      </c>
      <c r="K18" s="20" t="inlineStr">
        <is>
          <t>12 GB</t>
        </is>
      </c>
      <c r="L18" s="15" t="n">
        <v>4</v>
      </c>
      <c r="M18" s="13" t="n">
        <v>0.6743055555555556</v>
      </c>
      <c r="N18" s="13" t="n">
        <v>0.6854166666666667</v>
      </c>
      <c r="O18" s="13" t="n">
        <v>0.6868055555555556</v>
      </c>
      <c r="P18" s="13" t="n">
        <v>0.6888888888888889</v>
      </c>
      <c r="Q18" s="3" t="n">
        <v>46111</v>
      </c>
    </row>
    <row r="19" ht="43.2" customHeight="1" s="25">
      <c r="A19" s="7" t="inlineStr">
        <is>
          <t>Location678</t>
        </is>
      </c>
      <c r="B19" s="17" t="inlineStr">
        <is>
          <t>5892</t>
        </is>
      </c>
      <c r="C19" s="7" t="inlineStr">
        <is>
          <t>SCO</t>
        </is>
      </c>
      <c r="D19" s="16" t="n">
        <v>6</v>
      </c>
      <c r="E19" s="1" t="inlineStr">
        <is>
          <t>HOST3636</t>
        </is>
      </c>
      <c r="F19" s="1" t="n">
        <v>7702</v>
      </c>
      <c r="G19" s="1" t="inlineStr">
        <is>
          <t>SCO-7702</t>
        </is>
      </c>
      <c r="H19" s="1" t="inlineStr">
        <is>
          <t>SCO.DAT</t>
        </is>
      </c>
      <c r="I19" s="5">
        <f>N19-M19</f>
        <v/>
      </c>
      <c r="J19" s="6">
        <f>P19-O19</f>
        <v/>
      </c>
      <c r="K19" s="20" t="inlineStr">
        <is>
          <t>4 GB</t>
        </is>
      </c>
      <c r="L19" s="15" t="n">
        <v>2</v>
      </c>
      <c r="M19" s="13" t="n">
        <v>0.5826388888888889</v>
      </c>
      <c r="N19" s="13" t="n">
        <v>0.6</v>
      </c>
      <c r="O19" s="13" t="n">
        <v>0.6076388888888888</v>
      </c>
      <c r="P19" s="13" t="n">
        <v>0.6111111111111112</v>
      </c>
      <c r="Q19" s="3" t="n">
        <v>46111</v>
      </c>
    </row>
    <row r="20"/>
    <row r="21"/>
    <row r="22"/>
    <row r="23"/>
    <row r="24"/>
    <row r="25">
      <c r="I25" s="5" t="n"/>
    </row>
    <row r="26">
      <c r="I26" s="5" t="n"/>
    </row>
    <row r="27">
      <c r="I27" s="5" t="n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4"/>
  <sheetViews>
    <sheetView topLeftCell="A8" zoomScale="92" workbookViewId="0">
      <selection activeCell="D41" sqref="D41"/>
    </sheetView>
  </sheetViews>
  <sheetFormatPr baseColWidth="8" defaultRowHeight="14.4"/>
  <cols>
    <col width="7.21875" bestFit="1" customWidth="1" style="25" min="2" max="2"/>
    <col width="10.44140625" bestFit="1" customWidth="1" style="25" min="3" max="3"/>
    <col width="12" bestFit="1" customWidth="1" style="25" min="5" max="5"/>
    <col width="13.109375" bestFit="1" customWidth="1" style="25" min="6" max="6"/>
    <col width="5.88671875" bestFit="1" customWidth="1" style="25" min="7" max="7"/>
    <col width="8.33203125" bestFit="1" customWidth="1" style="25" min="8" max="8"/>
    <col width="14.21875" bestFit="1" customWidth="1" style="25" min="9" max="9"/>
    <col width="14.88671875" bestFit="1" customWidth="1" style="25" min="10" max="10"/>
    <col width="6.77734375" bestFit="1" customWidth="1" style="25" min="11" max="11"/>
    <col width="14.44140625" bestFit="1" customWidth="1" style="25" min="12" max="12"/>
    <col width="16.44140625" bestFit="1" customWidth="1" style="25" min="13" max="13"/>
    <col width="15.6640625" bestFit="1" customWidth="1" style="25" min="14" max="14"/>
    <col width="13.88671875" bestFit="1" customWidth="1" style="25" min="15" max="15"/>
    <col width="13.109375" bestFit="1" customWidth="1" style="25" min="16" max="16"/>
    <col width="9.88671875" bestFit="1" customWidth="1" style="25" min="17" max="17"/>
    <col width="13.77734375" bestFit="1" customWidth="1" style="25" min="18" max="18"/>
    <col width="11.5546875" bestFit="1" customWidth="1" style="25" min="19" max="19"/>
    <col width="10.5546875" bestFit="1" customWidth="1" style="25" min="20" max="20"/>
    <col width="14.77734375" bestFit="1" customWidth="1" style="25" min="21" max="21"/>
    <col width="15.77734375" bestFit="1" customWidth="1" style="9" min="22" max="22"/>
  </cols>
  <sheetData>
    <row r="1">
      <c r="A1" t="inlineStr">
        <is>
          <t xml:space="preserve">Site </t>
        </is>
      </c>
      <c r="B1" s="18" t="inlineStr">
        <is>
          <t>Store ID</t>
        </is>
      </c>
      <c r="C1" t="inlineStr">
        <is>
          <t>Device Type</t>
        </is>
      </c>
      <c r="D1" s="15" t="inlineStr">
        <is>
          <t>Register #</t>
        </is>
      </c>
      <c r="E1" t="inlineStr">
        <is>
          <t>System Name</t>
        </is>
      </c>
      <c r="F1" t="inlineStr">
        <is>
          <t>Device Image #</t>
        </is>
      </c>
      <c r="G1" t="inlineStr">
        <is>
          <t>Image</t>
        </is>
      </c>
      <c r="H1" t="inlineStr">
        <is>
          <t>Dat file</t>
        </is>
      </c>
      <c r="I1" s="6" t="inlineStr">
        <is>
          <t>Imaged Duration</t>
        </is>
      </c>
      <c r="J1" s="6" t="inlineStr">
        <is>
          <t>.BAT  file duration</t>
        </is>
      </c>
      <c r="K1" s="21" t="inlineStr">
        <is>
          <t>RAM</t>
        </is>
      </c>
      <c r="L1" s="22" t="inlineStr">
        <is>
          <t>Processor Cores</t>
        </is>
      </c>
      <c r="M1" t="inlineStr">
        <is>
          <t>Start time (Imaging)</t>
        </is>
      </c>
      <c r="N1" t="inlineStr">
        <is>
          <t>End time (Imaging)</t>
        </is>
      </c>
      <c r="O1" t="inlineStr">
        <is>
          <t>Start time (.BAT)</t>
        </is>
      </c>
      <c r="P1" t="inlineStr">
        <is>
          <t>End time (.BAT)</t>
        </is>
      </c>
      <c r="Q1" t="inlineStr">
        <is>
          <t>Date</t>
        </is>
      </c>
      <c r="R1" t="inlineStr">
        <is>
          <t>Notes (optional)</t>
        </is>
      </c>
      <c r="S1" t="inlineStr">
        <is>
          <t>Process Type</t>
        </is>
      </c>
      <c r="T1" t="inlineStr">
        <is>
          <t>RAM Bucket</t>
        </is>
      </c>
      <c r="U1" t="inlineStr">
        <is>
          <t>CPU Core Bucket</t>
        </is>
      </c>
      <c r="V1" s="9" t="inlineStr">
        <is>
          <t>RAM_GB_Numeric</t>
        </is>
      </c>
    </row>
    <row r="2" ht="43.2" customHeight="1" s="25">
      <c r="A2" s="7" t="inlineStr">
        <is>
          <t>Location780</t>
        </is>
      </c>
      <c r="B2" s="17" t="inlineStr">
        <is>
          <t>6915</t>
        </is>
      </c>
      <c r="C2" s="7" t="inlineStr">
        <is>
          <t>SCO</t>
        </is>
      </c>
      <c r="D2" s="16" t="n">
        <v>6</v>
      </c>
      <c r="E2" s="1" t="inlineStr">
        <is>
          <t>HOST1266</t>
        </is>
      </c>
      <c r="F2" s="1" t="n">
        <v>7702</v>
      </c>
      <c r="G2" s="1" t="inlineStr">
        <is>
          <t>SCO-7702</t>
        </is>
      </c>
      <c r="H2" s="1" t="inlineStr">
        <is>
          <t>SCO.DAT</t>
        </is>
      </c>
      <c r="I2" s="5">
        <f>N2-M2</f>
        <v/>
      </c>
      <c r="J2" s="6">
        <f>P2-O2</f>
        <v/>
      </c>
      <c r="K2" s="20" t="inlineStr">
        <is>
          <t>12 GB</t>
        </is>
      </c>
      <c r="L2" s="15" t="n">
        <v>4</v>
      </c>
      <c r="M2" s="13" t="n">
        <v>0.575</v>
      </c>
      <c r="N2" s="13" t="n">
        <v>0.5854166666666667</v>
      </c>
      <c r="O2" s="13" t="n">
        <v>0.5930555555555556</v>
      </c>
      <c r="P2" s="13" t="n">
        <v>0.5951388888888889</v>
      </c>
      <c r="Q2" s="3" t="n">
        <v>46104</v>
      </c>
      <c r="S2" s="7">
        <f>IF(OR(ISNUMBER(SEARCH("reimage",R4)),ISNUMBER(SEARCH("lab",R4)),ISNUMBER(SEARCH("test",R4))),"Reimage/Lab Support","Production Imaging")</f>
        <v/>
      </c>
      <c r="T2">
        <f>IF(V2&lt;=4,"4",IF(V2&lt;=8,"8",IF(V2&lt;=12,"12","16+")))</f>
        <v/>
      </c>
      <c r="U2">
        <f>IF(L2,"≤4",IF(L2&lt;=6,"6","8+"))</f>
        <v/>
      </c>
      <c r="V2" s="9">
        <f>VALUE(SUBSTITUTE(K2," GB",""))</f>
        <v/>
      </c>
    </row>
    <row r="3" ht="28.8" customHeight="1" s="25">
      <c r="A3" s="7" t="inlineStr">
        <is>
          <t>Location828</t>
        </is>
      </c>
      <c r="B3" s="17" t="inlineStr">
        <is>
          <t>8209</t>
        </is>
      </c>
      <c r="C3" s="7" t="inlineStr">
        <is>
          <t>SCO</t>
        </is>
      </c>
      <c r="D3" s="16" t="n">
        <v>5</v>
      </c>
      <c r="E3" s="1" t="inlineStr">
        <is>
          <t>HOST5236</t>
        </is>
      </c>
      <c r="F3" s="1" t="n">
        <v>7702</v>
      </c>
      <c r="G3" s="1" t="inlineStr">
        <is>
          <t>SCO-7702</t>
        </is>
      </c>
      <c r="H3" s="1" t="inlineStr">
        <is>
          <t>SCO.DAT</t>
        </is>
      </c>
      <c r="I3" s="5">
        <f>N3-M3</f>
        <v/>
      </c>
      <c r="J3" s="6">
        <f>P3-O3</f>
        <v/>
      </c>
      <c r="K3" s="20" t="inlineStr">
        <is>
          <t>12 GB</t>
        </is>
      </c>
      <c r="L3" s="15" t="n">
        <v>4</v>
      </c>
      <c r="M3" s="13" t="n">
        <v>0.6090277777777777</v>
      </c>
      <c r="N3" s="13" t="n">
        <v>0.6201388888888889</v>
      </c>
      <c r="O3" s="13" t="n">
        <v>0.6243055555555556</v>
      </c>
      <c r="P3" s="13" t="n">
        <v>0.6263888888888889</v>
      </c>
      <c r="Q3" s="3" t="n">
        <v>46104</v>
      </c>
      <c r="S3" s="7">
        <f>IF(OR(ISNUMBER(SEARCH("reimage",R4)),ISNUMBER(SEARCH("lab",R4)),ISNUMBER(SEARCH("test",R4))),"Reimage/Lab Support","Production Imaging")</f>
        <v/>
      </c>
      <c r="T3">
        <f>IF(V3&lt;=4,"4",IF(V3&lt;=8,"8",IF(V3&lt;=12,"12","16+")))</f>
        <v/>
      </c>
      <c r="U3">
        <f>IF(L3,"≤4",IF(L3&lt;=6,"6","8+"))</f>
        <v/>
      </c>
      <c r="V3" s="9">
        <f>VALUE(SUBSTITUTE(K3," GB",""))</f>
        <v/>
      </c>
    </row>
    <row r="4" ht="28.8" customHeight="1" s="25">
      <c r="A4" s="7" t="inlineStr">
        <is>
          <t>Location564</t>
        </is>
      </c>
      <c r="B4" s="17" t="inlineStr">
        <is>
          <t>9615</t>
        </is>
      </c>
      <c r="C4" s="7" t="inlineStr">
        <is>
          <t>SCO</t>
        </is>
      </c>
      <c r="D4" s="16" t="n">
        <v>4</v>
      </c>
      <c r="E4" s="1" t="inlineStr">
        <is>
          <t>HOST0949</t>
        </is>
      </c>
      <c r="F4" s="1" t="n">
        <v>7702</v>
      </c>
      <c r="G4" s="1" t="inlineStr">
        <is>
          <t>SCO-7702</t>
        </is>
      </c>
      <c r="H4" s="1" t="inlineStr">
        <is>
          <t>SCO.DAT</t>
        </is>
      </c>
      <c r="I4" s="5">
        <f>N4-M4</f>
        <v/>
      </c>
      <c r="J4" s="6">
        <f>P4-O4</f>
        <v/>
      </c>
      <c r="K4" s="20" t="inlineStr">
        <is>
          <t>12 GB</t>
        </is>
      </c>
      <c r="L4" s="15" t="n">
        <v>4</v>
      </c>
      <c r="M4" s="13" t="n">
        <v>0.3826388888888889</v>
      </c>
      <c r="N4" s="13" t="n">
        <v>0.3944444444444444</v>
      </c>
      <c r="O4" s="23" t="n">
        <v>0.3958333333333333</v>
      </c>
      <c r="P4" s="13" t="n">
        <v>0.3986111111111111</v>
      </c>
      <c r="Q4" s="3" t="n">
        <v>46105</v>
      </c>
      <c r="S4" s="7">
        <f>IF(OR(ISNUMBER(SEARCH("reimage",R4)),ISNUMBER(SEARCH("lab",R4)),ISNUMBER(SEARCH("test",R4))),"Reimage/Lab Support","Production Imaging")</f>
        <v/>
      </c>
      <c r="T4">
        <f>IF(V4&lt;=4,"4",IF(V4&lt;=8,"8",IF(V4&lt;=12,"12","16+")))</f>
        <v/>
      </c>
      <c r="U4">
        <f>IF(L4,"≤4",IF(L4&lt;=6,"6","8+"))</f>
        <v/>
      </c>
      <c r="V4" s="9">
        <f>VALUE(SUBSTITUTE(K4," GB",""))</f>
        <v/>
      </c>
    </row>
    <row r="5" ht="28.8" customHeight="1" s="25">
      <c r="A5" s="7" t="inlineStr">
        <is>
          <t>Location136</t>
        </is>
      </c>
      <c r="B5" s="17" t="inlineStr">
        <is>
          <t>1190</t>
        </is>
      </c>
      <c r="C5" s="7" t="inlineStr">
        <is>
          <t>SCO</t>
        </is>
      </c>
      <c r="D5" s="16" t="n">
        <v>3</v>
      </c>
      <c r="E5" s="1" t="inlineStr">
        <is>
          <t>HOST5956</t>
        </is>
      </c>
      <c r="F5" s="1" t="n">
        <v>7702</v>
      </c>
      <c r="G5" s="1" t="inlineStr">
        <is>
          <t>SCO-7702</t>
        </is>
      </c>
      <c r="H5" s="1" t="inlineStr">
        <is>
          <t>SCO.DAT</t>
        </is>
      </c>
      <c r="I5" s="5">
        <f>N5-M5</f>
        <v/>
      </c>
      <c r="J5" s="6">
        <f>P5-O5</f>
        <v/>
      </c>
      <c r="K5" s="20" t="inlineStr">
        <is>
          <t>12 GB</t>
        </is>
      </c>
      <c r="L5" s="15" t="n">
        <v>4</v>
      </c>
      <c r="M5" s="13" t="n">
        <v>0.6819444444444445</v>
      </c>
      <c r="N5" s="13" t="n">
        <v>0.6930555555555555</v>
      </c>
      <c r="O5" s="13" t="n">
        <v>0.6972222222222222</v>
      </c>
      <c r="P5" s="13" t="n">
        <v>0.6993055555555555</v>
      </c>
      <c r="Q5" s="3" t="n">
        <v>46104</v>
      </c>
      <c r="S5" s="7">
        <f>IF(OR(ISNUMBER(SEARCH("reimage",R5)),ISNUMBER(SEARCH("lab",R5)),ISNUMBER(SEARCH("test",R5))),"Reimage/Lab Support","Production Imaging")</f>
        <v/>
      </c>
      <c r="T5">
        <f>IF(V5&lt;=4,"4",IF(V5&lt;=8,"8",IF(V5&lt;=12,"12","16+")))</f>
        <v/>
      </c>
      <c r="U5">
        <f>IF(L5,"≤4",IF(L5&lt;=6,"6","8+"))</f>
        <v/>
      </c>
      <c r="V5" s="9">
        <f>VALUE(SUBSTITUTE(K5," GB",""))</f>
        <v/>
      </c>
    </row>
    <row r="6" ht="28.8" customHeight="1" s="25">
      <c r="A6" s="7" t="inlineStr">
        <is>
          <t>Location962</t>
        </is>
      </c>
      <c r="B6" s="17" t="inlineStr">
        <is>
          <t>4095</t>
        </is>
      </c>
      <c r="C6" s="7" t="inlineStr">
        <is>
          <t>SCO</t>
        </is>
      </c>
      <c r="D6" s="16" t="n">
        <v>2</v>
      </c>
      <c r="E6" s="1" t="inlineStr">
        <is>
          <t>HOST3865</t>
        </is>
      </c>
      <c r="F6" s="1" t="n">
        <v>7702</v>
      </c>
      <c r="G6" s="1" t="inlineStr">
        <is>
          <t>SCO-7702</t>
        </is>
      </c>
      <c r="H6" s="1" t="inlineStr">
        <is>
          <t>SCO.DAT</t>
        </is>
      </c>
      <c r="I6" s="5">
        <f>N6-M6</f>
        <v/>
      </c>
      <c r="J6" s="6">
        <f>P6-O6</f>
        <v/>
      </c>
      <c r="K6" s="20" t="inlineStr">
        <is>
          <t>12 GB</t>
        </is>
      </c>
      <c r="L6" s="15" t="n">
        <v>4</v>
      </c>
      <c r="M6" s="13" t="n">
        <v>0.40625</v>
      </c>
      <c r="N6" s="13" t="n">
        <v>0.4173611111111111</v>
      </c>
      <c r="O6" s="13" t="n">
        <v>0.4201388888888889</v>
      </c>
      <c r="P6" s="13" t="n">
        <v>0.4222222222222222</v>
      </c>
      <c r="Q6" s="3" t="n">
        <v>46105</v>
      </c>
      <c r="S6" s="7">
        <f>IF(OR(ISNUMBER(SEARCH("reimage",R6)),ISNUMBER(SEARCH("lab",R6)),ISNUMBER(SEARCH("test",R6))),"Reimage/Lab Support","Production Imaging")</f>
        <v/>
      </c>
      <c r="T6">
        <f>IF(V6&lt;=4,"4",IF(V6&lt;=8,"8",IF(V6&lt;=12,"12","16+")))</f>
        <v/>
      </c>
      <c r="U6">
        <f>IF(L6,"≤4",IF(L6&lt;=6,"6","8+"))</f>
        <v/>
      </c>
      <c r="V6" s="9">
        <f>VALUE(SUBSTITUTE(K6," GB",""))</f>
        <v/>
      </c>
    </row>
    <row r="7" ht="43.2" customHeight="1" s="25">
      <c r="A7" s="7" t="inlineStr">
        <is>
          <t>Location592</t>
        </is>
      </c>
      <c r="B7" s="17" t="inlineStr">
        <is>
          <t>3236</t>
        </is>
      </c>
      <c r="C7" s="7" t="inlineStr">
        <is>
          <t>SCO</t>
        </is>
      </c>
      <c r="D7" s="16" t="n">
        <v>3</v>
      </c>
      <c r="E7" s="1" t="inlineStr">
        <is>
          <t>HOST8026</t>
        </is>
      </c>
      <c r="F7" s="1" t="n">
        <v>7702</v>
      </c>
      <c r="G7" s="1" t="inlineStr">
        <is>
          <t>SCO-7702</t>
        </is>
      </c>
      <c r="H7" s="1" t="inlineStr">
        <is>
          <t>SCO.DAT</t>
        </is>
      </c>
      <c r="I7" s="5">
        <f>N7-M7</f>
        <v/>
      </c>
      <c r="J7" s="6">
        <f>P7-O7</f>
        <v/>
      </c>
      <c r="K7" s="20" t="inlineStr">
        <is>
          <t>12 GB</t>
        </is>
      </c>
      <c r="L7" s="15" t="n">
        <v>4</v>
      </c>
      <c r="M7" s="13" t="n">
        <v>0.43125</v>
      </c>
      <c r="N7" s="13" t="n">
        <v>0.4431828703703704</v>
      </c>
      <c r="O7" s="13" t="n">
        <v>0.4430555555555555</v>
      </c>
      <c r="P7" s="13" t="n">
        <v>0.4451388888888889</v>
      </c>
      <c r="Q7" s="3" t="n">
        <v>46105</v>
      </c>
      <c r="S7" s="7">
        <f>IF(OR(ISNUMBER(SEARCH("reimage",R7)),ISNUMBER(SEARCH("lab",R7)),ISNUMBER(SEARCH("test",R7))),"Reimage/Lab Support","Production Imaging")</f>
        <v/>
      </c>
      <c r="T7">
        <f>IF(V7&lt;=4,"4",IF(V7&lt;=8,"8",IF(V7&lt;=12,"12","16+")))</f>
        <v/>
      </c>
      <c r="U7">
        <f>IF(L7,"≤4",IF(L7&lt;=6,"6","8+"))</f>
        <v/>
      </c>
      <c r="V7" s="9">
        <f>VALUE(SUBSTITUTE(K7," GB",""))</f>
        <v/>
      </c>
    </row>
    <row r="8" ht="158.4" customHeight="1" s="25">
      <c r="A8" s="7" t="inlineStr">
        <is>
          <t>Location137</t>
        </is>
      </c>
      <c r="B8" s="17" t="inlineStr">
        <is>
          <t>4626</t>
        </is>
      </c>
      <c r="C8" s="7" t="inlineStr">
        <is>
          <t>In LANE</t>
        </is>
      </c>
      <c r="D8" s="16" t="n">
        <v>2</v>
      </c>
      <c r="E8" s="1" t="inlineStr">
        <is>
          <t>HOST1274</t>
        </is>
      </c>
      <c r="F8" s="1" t="n">
        <v>7703</v>
      </c>
      <c r="G8" s="1" t="inlineStr">
        <is>
          <t>POS-7703</t>
        </is>
      </c>
      <c r="H8" s="1" t="inlineStr">
        <is>
          <t>POS.DAT</t>
        </is>
      </c>
      <c r="I8" s="5">
        <f>N8-M8</f>
        <v/>
      </c>
      <c r="J8" s="6">
        <f>P8-O8</f>
        <v/>
      </c>
      <c r="K8" s="20" t="inlineStr">
        <is>
          <t>16 GB</t>
        </is>
      </c>
      <c r="L8" s="15" t="n">
        <v>2</v>
      </c>
      <c r="M8" s="13" t="n">
        <v>0.575</v>
      </c>
      <c r="N8" s="13" t="n">
        <v>0.5916666666666667</v>
      </c>
      <c r="O8" s="13" t="n">
        <v>0.5972222222222222</v>
      </c>
      <c r="P8" s="13" t="n">
        <v>0.5993055555555555</v>
      </c>
      <c r="Q8" s="3" t="n">
        <v>46104</v>
      </c>
      <c r="R8" s="7" t="inlineStr">
        <is>
          <t>Boot configuration must be verified prior to imaging; otherwise the system may display a ‘no boot/image’ black screen on startup.</t>
        </is>
      </c>
      <c r="S8" s="7">
        <f>IF(OR(ISNUMBER(SEARCH("reimage",R8)),ISNUMBER(SEARCH("lab",R8)),ISNUMBER(SEARCH("test",R8))),"Reimage/Lab Support","Production Imaging")</f>
        <v/>
      </c>
      <c r="T8">
        <f>IF(V8&lt;=4,"4",IF(V8&lt;=8,"8",IF(V8&lt;=12,"12","16+")))</f>
        <v/>
      </c>
      <c r="U8">
        <f>IF(L8,"≤4",IF(L8&lt;=6,"6","8+"))</f>
        <v/>
      </c>
      <c r="V8" s="9">
        <f>VALUE(SUBSTITUTE(K8," GB",""))</f>
        <v/>
      </c>
    </row>
    <row r="9" ht="28.8" customHeight="1" s="25">
      <c r="A9" s="7" t="inlineStr">
        <is>
          <t>Location348</t>
        </is>
      </c>
      <c r="B9" s="17" t="inlineStr">
        <is>
          <t>4844</t>
        </is>
      </c>
      <c r="C9" s="7" t="inlineStr">
        <is>
          <t>In LANE</t>
        </is>
      </c>
      <c r="D9" s="16" t="n">
        <v>3</v>
      </c>
      <c r="E9" s="1" t="inlineStr">
        <is>
          <t>HOST9859</t>
        </is>
      </c>
      <c r="F9" s="1" t="n">
        <v>7702</v>
      </c>
      <c r="G9" s="1" t="inlineStr">
        <is>
          <t>POS-7702</t>
        </is>
      </c>
      <c r="H9" s="1" t="inlineStr">
        <is>
          <t>POS.DAT</t>
        </is>
      </c>
      <c r="I9" s="5">
        <f>N9-M9</f>
        <v/>
      </c>
      <c r="J9" s="6">
        <f>P9-O9</f>
        <v/>
      </c>
      <c r="K9" s="20" t="inlineStr">
        <is>
          <t>4 GB</t>
        </is>
      </c>
      <c r="L9" s="15" t="n">
        <v>2</v>
      </c>
      <c r="M9" s="13" t="n">
        <v>0.6097222222222223</v>
      </c>
      <c r="N9" s="13" t="n">
        <v>0.6298611111111111</v>
      </c>
      <c r="O9" s="13" t="n">
        <v>0.6354166666666666</v>
      </c>
      <c r="P9" s="13" t="n">
        <v>0.6381944444444444</v>
      </c>
      <c r="Q9" s="3" t="n">
        <v>46104</v>
      </c>
      <c r="S9" s="7">
        <f>IF(OR(ISNUMBER(SEARCH("reimage",R9)),ISNUMBER(SEARCH("lab",R9)),ISNUMBER(SEARCH("test",R9))),"Reimage/Lab Support","Production Imaging")</f>
        <v/>
      </c>
      <c r="T9">
        <f>IF(V9&lt;=4,"4",IF(V9&lt;=8,"8",IF(V9&lt;=12,"12","16+")))</f>
        <v/>
      </c>
      <c r="U9">
        <f>IF(L9,"≤4",IF(L9&lt;=6,"6","8+"))</f>
        <v/>
      </c>
      <c r="V9" s="9">
        <f>VALUE(SUBSTITUTE(K9," GB",""))</f>
        <v/>
      </c>
    </row>
    <row r="10" ht="28.8" customHeight="1" s="25">
      <c r="A10" s="7" t="inlineStr">
        <is>
          <t>Location256</t>
        </is>
      </c>
      <c r="B10" s="17" t="inlineStr">
        <is>
          <t>8101</t>
        </is>
      </c>
      <c r="C10" s="7" t="inlineStr">
        <is>
          <t>In LANE</t>
        </is>
      </c>
      <c r="D10" s="16" t="n">
        <v>18</v>
      </c>
      <c r="E10" s="1" t="inlineStr">
        <is>
          <t>HOST6685</t>
        </is>
      </c>
      <c r="F10" s="1" t="n">
        <v>7702</v>
      </c>
      <c r="G10" s="1" t="inlineStr">
        <is>
          <t>POS-7702</t>
        </is>
      </c>
      <c r="H10" s="1" t="inlineStr">
        <is>
          <t>POS.DAT</t>
        </is>
      </c>
      <c r="I10" s="5">
        <f>N10-M10</f>
        <v/>
      </c>
      <c r="J10" s="6">
        <f>P10-O10</f>
        <v/>
      </c>
      <c r="K10" s="20" t="inlineStr">
        <is>
          <t>4 GB</t>
        </is>
      </c>
      <c r="L10" s="15" t="n">
        <v>2</v>
      </c>
      <c r="M10" s="13" t="n">
        <v>0.6826388888888889</v>
      </c>
      <c r="N10" s="13" t="n">
        <v>0.7020833333333333</v>
      </c>
      <c r="O10" s="13" t="n">
        <v>0.7076388888888889</v>
      </c>
      <c r="P10" s="13" t="n">
        <v>0.7104166666666667</v>
      </c>
      <c r="Q10" s="3" t="n">
        <v>46104</v>
      </c>
      <c r="S10" s="7">
        <f>IF(OR(ISNUMBER(SEARCH("reimage",R10)),ISNUMBER(SEARCH("lab",R10)),ISNUMBER(SEARCH("test",R10))),"Reimage/Lab Support","Production Imaging")</f>
        <v/>
      </c>
      <c r="T10">
        <f>IF(V10&lt;=4,"4",IF(V10&lt;=8,"8",IF(V10&lt;=12,"12","16+")))</f>
        <v/>
      </c>
      <c r="U10">
        <f>IF(L10,"≤4",IF(L10&lt;=6,"6","8+"))</f>
        <v/>
      </c>
      <c r="V10" s="9">
        <f>VALUE(SUBSTITUTE(K10," GB",""))</f>
        <v/>
      </c>
    </row>
    <row r="11" ht="28.8" customHeight="1" s="25">
      <c r="A11" s="7" t="inlineStr">
        <is>
          <t>Location137</t>
        </is>
      </c>
      <c r="B11" s="17" t="inlineStr">
        <is>
          <t>4626</t>
        </is>
      </c>
      <c r="C11" s="7" t="inlineStr">
        <is>
          <t>In LANE</t>
        </is>
      </c>
      <c r="D11" s="16" t="n">
        <v>3</v>
      </c>
      <c r="E11" s="1" t="inlineStr">
        <is>
          <t>HOST0785</t>
        </is>
      </c>
      <c r="F11" s="1" t="n">
        <v>7703</v>
      </c>
      <c r="G11" s="1" t="inlineStr">
        <is>
          <t>POS-7703</t>
        </is>
      </c>
      <c r="H11" s="1" t="inlineStr">
        <is>
          <t>POS.DAT</t>
        </is>
      </c>
      <c r="I11" s="5">
        <f>N11-M11</f>
        <v/>
      </c>
      <c r="J11" s="6">
        <f>P11-O11</f>
        <v/>
      </c>
      <c r="K11" s="20" t="inlineStr">
        <is>
          <t>16 GB</t>
        </is>
      </c>
      <c r="L11" s="15" t="n">
        <v>2</v>
      </c>
      <c r="M11" s="13" t="n">
        <v>0.3833333333333334</v>
      </c>
      <c r="N11" s="13" t="n">
        <v>0.4</v>
      </c>
      <c r="O11" s="13" t="n">
        <v>0.4076388888888889</v>
      </c>
      <c r="P11" s="13" t="n">
        <v>0.4090277777777778</v>
      </c>
      <c r="Q11" s="3" t="n">
        <v>46105</v>
      </c>
      <c r="S11" s="7">
        <f>IF(OR(ISNUMBER(SEARCH("reimage",R11)),ISNUMBER(SEARCH("lab",R11)),ISNUMBER(SEARCH("test",R11))),"Reimage/Lab Support","Production Imaging")</f>
        <v/>
      </c>
      <c r="T11">
        <f>IF(V11&lt;=4,"4",IF(V11&lt;=8,"8",IF(V11&lt;=12,"12","16+")))</f>
        <v/>
      </c>
      <c r="U11">
        <f>IF(L11,"≤4",IF(L11&lt;=6,"6","8+"))</f>
        <v/>
      </c>
      <c r="V11" s="9">
        <f>VALUE(SUBSTITUTE(K11," GB",""))</f>
        <v/>
      </c>
    </row>
    <row r="12" ht="28.8" customHeight="1" s="25">
      <c r="A12" s="7" t="inlineStr">
        <is>
          <t>Location859</t>
        </is>
      </c>
      <c r="B12" s="17" t="inlineStr">
        <is>
          <t>2109</t>
        </is>
      </c>
      <c r="C12" s="7" t="inlineStr">
        <is>
          <t>SCO</t>
        </is>
      </c>
      <c r="D12" s="16" t="n">
        <v>5</v>
      </c>
      <c r="E12" s="1" t="inlineStr">
        <is>
          <t>HOST4661</t>
        </is>
      </c>
      <c r="F12" s="1" t="n">
        <v>7702</v>
      </c>
      <c r="G12" s="1" t="inlineStr">
        <is>
          <t>SCO-7702</t>
        </is>
      </c>
      <c r="H12" s="1" t="inlineStr">
        <is>
          <t>SCO.DAT</t>
        </is>
      </c>
      <c r="I12" s="5">
        <f>N12-M12</f>
        <v/>
      </c>
      <c r="J12" s="6">
        <f>P12-O12</f>
        <v/>
      </c>
      <c r="K12" s="20" t="inlineStr">
        <is>
          <t>12 GB</t>
        </is>
      </c>
      <c r="L12" s="15" t="n">
        <v>4</v>
      </c>
      <c r="M12" s="13" t="n">
        <v>0.5576388888888889</v>
      </c>
      <c r="N12" s="13" t="n">
        <v>0.5673611111111111</v>
      </c>
      <c r="O12" s="13" t="n">
        <v>0.5694444444444444</v>
      </c>
      <c r="P12" s="13" t="n">
        <v>0.5715277777777777</v>
      </c>
      <c r="Q12" s="3" t="n">
        <v>46105</v>
      </c>
      <c r="S12" s="7">
        <f>IF(OR(ISNUMBER(SEARCH("reimage",R12)),ISNUMBER(SEARCH("lab",R12)),ISNUMBER(SEARCH("test",R12))),"Reimage/Lab Support","Production Imaging")</f>
        <v/>
      </c>
      <c r="T12">
        <f>IF(V12&lt;=4,"4",IF(V12&lt;=8,"8",IF(V12&lt;=12,"12","16+")))</f>
        <v/>
      </c>
      <c r="U12">
        <f>IF(L12,"≤4",IF(L12&lt;=6,"6","8+"))</f>
        <v/>
      </c>
      <c r="V12" s="9">
        <f>VALUE(SUBSTITUTE(K12," GB",""))</f>
        <v/>
      </c>
    </row>
    <row r="13" ht="57.6" customHeight="1" s="25">
      <c r="A13" s="7" t="inlineStr">
        <is>
          <t>N/A</t>
        </is>
      </c>
      <c r="B13" s="15" t="inlineStr">
        <is>
          <t>N/A</t>
        </is>
      </c>
      <c r="C13" s="7" t="inlineStr">
        <is>
          <t>POS</t>
        </is>
      </c>
      <c r="D13" s="15" t="inlineStr">
        <is>
          <t>N/A</t>
        </is>
      </c>
      <c r="E13" s="7" t="inlineStr">
        <is>
          <t>N/A</t>
        </is>
      </c>
      <c r="F13" s="1" t="n">
        <v>7702</v>
      </c>
      <c r="G13" s="1" t="inlineStr">
        <is>
          <t>POS-7702</t>
        </is>
      </c>
      <c r="H13" s="1" t="inlineStr">
        <is>
          <t>POS.DAT</t>
        </is>
      </c>
      <c r="I13" s="5">
        <f>N13-M13</f>
        <v/>
      </c>
      <c r="J13" s="14" t="inlineStr">
        <is>
          <t>N/A</t>
        </is>
      </c>
      <c r="K13" s="14" t="inlineStr">
        <is>
          <t>12 GB</t>
        </is>
      </c>
      <c r="L13" s="15" t="n">
        <v>4</v>
      </c>
      <c r="M13" s="13" t="n">
        <v>0.5402777777777777</v>
      </c>
      <c r="N13" s="13" t="n">
        <v>0.5541666666666667</v>
      </c>
      <c r="O13" s="13" t="inlineStr">
        <is>
          <t>N/A</t>
        </is>
      </c>
      <c r="P13" s="13" t="inlineStr">
        <is>
          <t>N/A</t>
        </is>
      </c>
      <c r="Q13" s="3" t="n">
        <v>46107</v>
      </c>
      <c r="R13" s="7" t="inlineStr">
        <is>
          <t xml:space="preserve">Drive partition deleted and reimaged with POS 7702 </t>
        </is>
      </c>
      <c r="S13" s="7">
        <f>IF(OR(ISNUMBER(SEARCH("reimage",R13)),ISNUMBER(SEARCH("lab",R13)),ISNUMBER(SEARCH("test",R13))),"Reimage/Lab Support","Production Imaging")</f>
        <v/>
      </c>
      <c r="T13">
        <f>IF(V13&lt;=4,"4",IF(V13&lt;=8,"8",IF(V13&lt;=12,"12","16+")))</f>
        <v/>
      </c>
      <c r="U13">
        <f>IF(L13,"≤4",IF(L13&lt;=6,"6","8+"))</f>
        <v/>
      </c>
      <c r="V13" s="9">
        <f>VALUE(SUBSTITUTE(K13," GB",""))</f>
        <v/>
      </c>
    </row>
    <row r="14" ht="28.8" customHeight="1" s="25">
      <c r="A14" s="7" t="inlineStr">
        <is>
          <t>Location406</t>
        </is>
      </c>
      <c r="B14" s="17" t="inlineStr">
        <is>
          <t>6168</t>
        </is>
      </c>
      <c r="C14" s="7" t="inlineStr">
        <is>
          <t>In LANE</t>
        </is>
      </c>
      <c r="D14" s="16" t="n">
        <v>6</v>
      </c>
      <c r="E14" s="1" t="inlineStr">
        <is>
          <t>HOST9102</t>
        </is>
      </c>
      <c r="F14" s="1" t="n">
        <v>7702</v>
      </c>
      <c r="G14" s="1" t="inlineStr">
        <is>
          <t>POS-7702</t>
        </is>
      </c>
      <c r="H14" s="1" t="inlineStr">
        <is>
          <t>POS.DAT</t>
        </is>
      </c>
      <c r="I14" s="5">
        <f>N14-M14</f>
        <v/>
      </c>
      <c r="J14" s="6">
        <f>P14-O14</f>
        <v/>
      </c>
      <c r="K14" s="20" t="inlineStr">
        <is>
          <t>12 GB</t>
        </is>
      </c>
      <c r="L14" s="15" t="n">
        <v>4</v>
      </c>
      <c r="M14" s="13" t="n">
        <v>0.5791666666666667</v>
      </c>
      <c r="N14" s="13" t="n">
        <v>0.5916666666666667</v>
      </c>
      <c r="O14" s="13" t="n">
        <v>0.5972222222222222</v>
      </c>
      <c r="P14" s="13" t="n">
        <v>0.5986111111111111</v>
      </c>
      <c r="Q14" s="3" t="n">
        <v>46111</v>
      </c>
      <c r="S14" s="7">
        <f>IF(OR(ISNUMBER(SEARCH("reimage",R14)),ISNUMBER(SEARCH("lab",R14)),ISNUMBER(SEARCH("test",R14))),"Reimage/Lab Support","Production Imaging")</f>
        <v/>
      </c>
      <c r="T14">
        <f>IF(V14&lt;=4,"4",IF(V14&lt;=8,"8",IF(V14&lt;=12,"12","16+")))</f>
        <v/>
      </c>
      <c r="U14">
        <f>IF(L14,"≤4",IF(L14&lt;=6,"6","8+"))</f>
        <v/>
      </c>
      <c r="V14" s="9">
        <f>VALUE(SUBSTITUTE(K14," GB",""))</f>
        <v/>
      </c>
    </row>
    <row r="15" ht="28.8" customHeight="1" s="25">
      <c r="A15" s="7" t="inlineStr">
        <is>
          <t>Location493</t>
        </is>
      </c>
      <c r="B15" s="17" t="inlineStr">
        <is>
          <t>3331</t>
        </is>
      </c>
      <c r="C15" s="7" t="inlineStr">
        <is>
          <t>SCO attendant</t>
        </is>
      </c>
      <c r="D15" s="16" t="n">
        <v>1</v>
      </c>
      <c r="E15" s="1" t="inlineStr">
        <is>
          <t>HOST6503</t>
        </is>
      </c>
      <c r="F15" s="1" t="n">
        <v>7702</v>
      </c>
      <c r="G15" s="1" t="inlineStr">
        <is>
          <t>POS-7702</t>
        </is>
      </c>
      <c r="H15" s="1" t="inlineStr">
        <is>
          <t>SAL.DAT</t>
        </is>
      </c>
      <c r="I15" s="5">
        <f>N15-M15</f>
        <v/>
      </c>
      <c r="J15" s="6">
        <f>P15-O15</f>
        <v/>
      </c>
      <c r="K15" s="20" t="inlineStr">
        <is>
          <t>12 GB</t>
        </is>
      </c>
      <c r="L15" s="15" t="n">
        <v>4</v>
      </c>
      <c r="M15" s="13" t="n">
        <v>0.6298611111111111</v>
      </c>
      <c r="N15" s="13" t="n">
        <v>0.64375</v>
      </c>
      <c r="O15" s="13" t="n">
        <v>0.6451388888888889</v>
      </c>
      <c r="P15" s="13" t="n">
        <v>0.6472222222222223</v>
      </c>
      <c r="Q15" s="3" t="n">
        <v>46111</v>
      </c>
      <c r="S15" s="7">
        <f>IF(OR(ISNUMBER(SEARCH("reimage",R15)),ISNUMBER(SEARCH("lab",R15)),ISNUMBER(SEARCH("test",R15))),"Reimage/Lab Support","Production Imaging")</f>
        <v/>
      </c>
      <c r="T15">
        <f>IF(V15&lt;=4,"4",IF(V15&lt;=8,"8",IF(V15&lt;=12,"12","16+")))</f>
        <v/>
      </c>
      <c r="U15">
        <f>IF(L15,"≤4",IF(L15&lt;=6,"6","8+"))</f>
        <v/>
      </c>
      <c r="V15" s="9">
        <f>VALUE(SUBSTITUTE(K15," GB",""))</f>
        <v/>
      </c>
    </row>
    <row r="16" ht="28.8" customHeight="1" s="25">
      <c r="A16" s="7" t="inlineStr">
        <is>
          <t>Location828</t>
        </is>
      </c>
      <c r="B16" s="17" t="inlineStr">
        <is>
          <t>8209</t>
        </is>
      </c>
      <c r="C16" s="7" t="inlineStr">
        <is>
          <t>SCO</t>
        </is>
      </c>
      <c r="D16" s="16" t="n">
        <v>5</v>
      </c>
      <c r="E16" s="1" t="inlineStr">
        <is>
          <t>HOST5236</t>
        </is>
      </c>
      <c r="F16" s="1" t="n">
        <v>7703</v>
      </c>
      <c r="G16" s="1" t="inlineStr">
        <is>
          <t>SCO-7703</t>
        </is>
      </c>
      <c r="H16" s="1" t="inlineStr">
        <is>
          <t>SCO.DAT</t>
        </is>
      </c>
      <c r="I16" s="5">
        <f>N16-M16</f>
        <v/>
      </c>
      <c r="J16" s="6">
        <f>P16-O16</f>
        <v/>
      </c>
      <c r="K16" s="20" t="inlineStr">
        <is>
          <t>16 GB</t>
        </is>
      </c>
      <c r="L16" s="15" t="n">
        <v>2</v>
      </c>
      <c r="M16" s="13" t="n">
        <v>0.5006944444444444</v>
      </c>
      <c r="N16" s="13" t="n">
        <v>0.53125</v>
      </c>
      <c r="O16" s="13" t="n">
        <v>0.5333333333333333</v>
      </c>
      <c r="P16" s="13" t="n">
        <v>0.5354166666666667</v>
      </c>
      <c r="Q16" s="3" t="n">
        <v>46112</v>
      </c>
      <c r="S16" s="7">
        <f>IF(OR(ISNUMBER(SEARCH("reimage",R16)),ISNUMBER(SEARCH("lab",R16)),ISNUMBER(SEARCH("test",R16))),"Reimage/Lab Support","Production Imaging")</f>
        <v/>
      </c>
      <c r="T16">
        <f>IF(V16&lt;=4,"4",IF(V16&lt;=8,"8",IF(V16&lt;=12,"12","16+")))</f>
        <v/>
      </c>
      <c r="U16">
        <f>IF(L16,"≤4",IF(L16&lt;=6,"6","8+"))</f>
        <v/>
      </c>
      <c r="V16" s="9">
        <f>VALUE(SUBSTITUTE(K16," GB",""))</f>
        <v/>
      </c>
    </row>
    <row r="17" ht="28.8" customHeight="1" s="25">
      <c r="A17" s="7" t="inlineStr">
        <is>
          <t>Location564</t>
        </is>
      </c>
      <c r="B17" s="17" t="inlineStr">
        <is>
          <t>9615</t>
        </is>
      </c>
      <c r="C17" s="7" t="inlineStr">
        <is>
          <t>SCO</t>
        </is>
      </c>
      <c r="D17" s="16" t="n">
        <v>8</v>
      </c>
      <c r="E17" s="1" t="inlineStr">
        <is>
          <t>HOST7263</t>
        </is>
      </c>
      <c r="F17" s="1" t="n">
        <v>7702</v>
      </c>
      <c r="G17" s="1" t="inlineStr">
        <is>
          <t>SCO-7702</t>
        </is>
      </c>
      <c r="H17" s="1" t="inlineStr">
        <is>
          <t>SCO.DAT</t>
        </is>
      </c>
      <c r="I17" s="5">
        <f>N17-M17</f>
        <v/>
      </c>
      <c r="J17" s="6">
        <f>P17-O17</f>
        <v/>
      </c>
      <c r="K17" s="20" t="inlineStr">
        <is>
          <t>4 GB</t>
        </is>
      </c>
      <c r="L17" s="15" t="n">
        <v>2</v>
      </c>
      <c r="M17" s="13" t="n">
        <v>0.6291666666666667</v>
      </c>
      <c r="N17" s="13" t="n">
        <v>0.6604166666666667</v>
      </c>
      <c r="O17" s="13" t="n">
        <v>0.6652777777777777</v>
      </c>
      <c r="P17" s="13" t="n">
        <v>0.6701388888888888</v>
      </c>
      <c r="Q17" s="3" t="n">
        <v>46111</v>
      </c>
      <c r="S17" s="7">
        <f>IF(OR(ISNUMBER(SEARCH("reimage",R17)),ISNUMBER(SEARCH("lab",R17)),ISNUMBER(SEARCH("test",R17))),"Reimage/Lab Support","Production Imaging")</f>
        <v/>
      </c>
      <c r="T17">
        <f>IF(V17&lt;=4,"4",IF(V17&lt;=8,"8",IF(V17&lt;=12,"12","16+")))</f>
        <v/>
      </c>
      <c r="U17">
        <f>IF(L17,"≤4",IF(L17&lt;=6,"6","8+"))</f>
        <v/>
      </c>
      <c r="V17" s="9">
        <f>VALUE(SUBSTITUTE(K17," GB",""))</f>
        <v/>
      </c>
    </row>
    <row r="18" ht="28.8" customHeight="1" s="25">
      <c r="A18" s="7" t="inlineStr">
        <is>
          <t>Location564</t>
        </is>
      </c>
      <c r="B18" s="17" t="inlineStr">
        <is>
          <t>9615</t>
        </is>
      </c>
      <c r="C18" s="7" t="inlineStr">
        <is>
          <t>SCO</t>
        </is>
      </c>
      <c r="D18" s="16" t="n">
        <v>6</v>
      </c>
      <c r="E18" s="1" t="inlineStr">
        <is>
          <t>HOST5338</t>
        </is>
      </c>
      <c r="F18" s="1" t="n">
        <v>7702</v>
      </c>
      <c r="G18" s="1" t="inlineStr">
        <is>
          <t>SCO-7702</t>
        </is>
      </c>
      <c r="H18" s="1" t="inlineStr">
        <is>
          <t>SCO.DAT</t>
        </is>
      </c>
      <c r="I18" s="5">
        <f>N18-M18</f>
        <v/>
      </c>
      <c r="J18" s="6">
        <f>P18-O18</f>
        <v/>
      </c>
      <c r="K18" s="20" t="inlineStr">
        <is>
          <t>12 GB</t>
        </is>
      </c>
      <c r="L18" s="15" t="n">
        <v>4</v>
      </c>
      <c r="M18" s="13" t="n">
        <v>0.6743055555555556</v>
      </c>
      <c r="N18" s="13" t="n">
        <v>0.6854166666666667</v>
      </c>
      <c r="O18" s="13" t="n">
        <v>0.6868055555555556</v>
      </c>
      <c r="P18" s="13" t="n">
        <v>0.6888888888888889</v>
      </c>
      <c r="Q18" s="3" t="n">
        <v>46111</v>
      </c>
      <c r="S18" s="7">
        <f>IF(OR(ISNUMBER(SEARCH("reimage",R18)),ISNUMBER(SEARCH("lab",R18)),ISNUMBER(SEARCH("test",R18))),"Reimage/Lab Support","Production Imaging")</f>
        <v/>
      </c>
      <c r="T18">
        <f>IF(V18&lt;=4,"4",IF(V18&lt;=8,"8",IF(V18&lt;=12,"12","16+")))</f>
        <v/>
      </c>
      <c r="U18">
        <f>IF(L18,"≤4",IF(L18&lt;=6,"6","8+"))</f>
        <v/>
      </c>
      <c r="V18" s="9">
        <f>VALUE(SUBSTITUTE(K18," GB",""))</f>
        <v/>
      </c>
    </row>
    <row r="19" ht="43.2" customHeight="1" s="25">
      <c r="A19" s="7" t="inlineStr">
        <is>
          <t>Location678</t>
        </is>
      </c>
      <c r="B19" s="17" t="inlineStr">
        <is>
          <t>5892</t>
        </is>
      </c>
      <c r="C19" s="7" t="inlineStr">
        <is>
          <t>SCO</t>
        </is>
      </c>
      <c r="D19" s="16" t="n">
        <v>6</v>
      </c>
      <c r="E19" s="1" t="inlineStr">
        <is>
          <t>HOST3636</t>
        </is>
      </c>
      <c r="F19" s="1" t="n">
        <v>7702</v>
      </c>
      <c r="G19" s="1" t="inlineStr">
        <is>
          <t>SCO-7702</t>
        </is>
      </c>
      <c r="H19" s="1" t="inlineStr">
        <is>
          <t>SCO.DAT</t>
        </is>
      </c>
      <c r="I19" s="5">
        <f>N19-M19</f>
        <v/>
      </c>
      <c r="J19" s="6">
        <f>P19-O19</f>
        <v/>
      </c>
      <c r="K19" s="20" t="inlineStr">
        <is>
          <t>4 GB</t>
        </is>
      </c>
      <c r="L19" s="15" t="n">
        <v>2</v>
      </c>
      <c r="M19" s="13" t="n">
        <v>0.5826388888888889</v>
      </c>
      <c r="N19" s="13" t="n">
        <v>0.6</v>
      </c>
      <c r="O19" s="13" t="n">
        <v>0.6076388888888888</v>
      </c>
      <c r="P19" s="13" t="n">
        <v>0.6111111111111112</v>
      </c>
      <c r="Q19" s="3" t="n">
        <v>46111</v>
      </c>
      <c r="S19" s="7">
        <f>IF(OR(ISNUMBER(SEARCH("reimage",R19)),ISNUMBER(SEARCH("lab",R19)),ISNUMBER(SEARCH("test",R19))),"Reimage/Lab Support","Production Imaging")</f>
        <v/>
      </c>
      <c r="T19">
        <f>IF(V19&lt;=4,"4",IF(V19&lt;=8,"8",IF(V19&lt;=12,"12","16+")))</f>
        <v/>
      </c>
      <c r="U19">
        <f>IF(L19,"≤4",IF(L19&lt;=6,"6","8+"))</f>
        <v/>
      </c>
      <c r="V19" s="9">
        <f>VALUE(SUBSTITUTE(K19," GB",""))</f>
        <v/>
      </c>
    </row>
    <row r="20" ht="28.8" customHeight="1" s="25">
      <c r="A20" s="7" t="inlineStr">
        <is>
          <t>N/A</t>
        </is>
      </c>
      <c r="B20" s="15" t="inlineStr">
        <is>
          <t>N/A</t>
        </is>
      </c>
      <c r="C20" s="7" t="inlineStr">
        <is>
          <t>SCO</t>
        </is>
      </c>
      <c r="D20" s="15" t="inlineStr">
        <is>
          <t>N/A</t>
        </is>
      </c>
      <c r="E20" s="1" t="inlineStr">
        <is>
          <t>N/A</t>
        </is>
      </c>
      <c r="F20" s="1" t="n">
        <v>7703</v>
      </c>
      <c r="G20" s="1" t="inlineStr">
        <is>
          <t>SCO-7703</t>
        </is>
      </c>
      <c r="H20" s="1" t="inlineStr">
        <is>
          <t>SCO.DAT</t>
        </is>
      </c>
      <c r="I20" s="5">
        <f>N20-M20</f>
        <v/>
      </c>
      <c r="J20" s="6" t="inlineStr">
        <is>
          <t>N/A</t>
        </is>
      </c>
      <c r="K20" s="20" t="inlineStr">
        <is>
          <t>16 GB</t>
        </is>
      </c>
      <c r="L20" s="15" t="n">
        <v>4</v>
      </c>
      <c r="M20" s="13" t="n">
        <v>0.39375</v>
      </c>
      <c r="N20" s="13" t="n">
        <v>0.4305555555555556</v>
      </c>
      <c r="O20" t="inlineStr">
        <is>
          <t>N/A</t>
        </is>
      </c>
      <c r="P20" t="inlineStr">
        <is>
          <t>N/A</t>
        </is>
      </c>
      <c r="Q20" s="3" t="n">
        <v>46114</v>
      </c>
      <c r="R20" s="7" t="inlineStr">
        <is>
          <t>Reimaging for GIL lab testing</t>
        </is>
      </c>
      <c r="S20" s="7">
        <f>IF(OR(ISNUMBER(SEARCH("reimage",R20)),ISNUMBER(SEARCH("lab",R20)),ISNUMBER(SEARCH("test",R20))),"Reimage/Lab Support","Production Imaging")</f>
        <v/>
      </c>
      <c r="T20">
        <f>IF(V20&lt;=4,"4",IF(V20&lt;=8,"8",IF(V20&lt;=12,"12","16+")))</f>
        <v/>
      </c>
      <c r="U20">
        <f>IF(L20,"≤4",IF(L20&lt;=6,"6","8+"))</f>
        <v/>
      </c>
      <c r="V20" s="9">
        <f>VALUE(SUBSTITUTE(K20," GB",""))</f>
        <v/>
      </c>
    </row>
    <row r="21" ht="28.8" customHeight="1" s="25">
      <c r="A21" s="1" t="inlineStr">
        <is>
          <t>Location810</t>
        </is>
      </c>
      <c r="B21" s="1" t="inlineStr">
        <is>
          <t>3363</t>
        </is>
      </c>
      <c r="C21" s="1" t="inlineStr">
        <is>
          <t>SCO</t>
        </is>
      </c>
      <c r="D21" s="1" t="n">
        <v>1</v>
      </c>
      <c r="E21" s="1" t="inlineStr">
        <is>
          <t>HOST9891</t>
        </is>
      </c>
      <c r="F21" s="1" t="n">
        <v>7703</v>
      </c>
      <c r="G21" s="1" t="inlineStr">
        <is>
          <t>SCO-7703</t>
        </is>
      </c>
      <c r="H21" s="1" t="inlineStr">
        <is>
          <t>SCO.DAT</t>
        </is>
      </c>
      <c r="I21" s="5">
        <f>N21-M21</f>
        <v/>
      </c>
      <c r="J21" s="6">
        <f>P21-O21</f>
        <v/>
      </c>
      <c r="K21" s="20" t="inlineStr">
        <is>
          <t>16 GB</t>
        </is>
      </c>
      <c r="L21" s="15" t="n">
        <v>2</v>
      </c>
      <c r="M21" s="13" t="n">
        <v>0.5756944444444444</v>
      </c>
      <c r="N21" s="13" t="n">
        <v>0.60625</v>
      </c>
      <c r="O21" s="13" t="n">
        <v>0.6090277777777777</v>
      </c>
      <c r="P21" s="13" t="n">
        <v>0.6118055555555556</v>
      </c>
      <c r="Q21" s="3" t="n">
        <v>46114</v>
      </c>
      <c r="R21" s="7" t="inlineStr">
        <is>
          <t xml:space="preserve">Requires manual bootup </t>
        </is>
      </c>
      <c r="S21" s="7">
        <f>IF(OR(ISNUMBER(SEARCH("reimage",R21)),ISNUMBER(SEARCH("lab",R21)),ISNUMBER(SEARCH("test",R21))),"Reimage/Lab Support","Production Imaging")</f>
        <v/>
      </c>
      <c r="T21">
        <f>IF(V21&lt;=4,"4",IF(V21&lt;=8,"8",IF(V21&lt;=12,"12","16+")))</f>
        <v/>
      </c>
      <c r="U21">
        <f>IF(L21,"≤4",IF(L21&lt;=6,"6","8+"))</f>
        <v/>
      </c>
      <c r="V21" s="9">
        <f>VALUE(SUBSTITUTE(K21," GB",""))</f>
        <v/>
      </c>
    </row>
    <row r="22" ht="43.2" customHeight="1" s="25">
      <c r="A22" s="1" t="inlineStr">
        <is>
          <t>Location383</t>
        </is>
      </c>
      <c r="B22" s="1" t="inlineStr">
        <is>
          <t>3507</t>
        </is>
      </c>
      <c r="C22" s="1" t="inlineStr">
        <is>
          <t>SCO</t>
        </is>
      </c>
      <c r="D22" s="1" t="n">
        <v>2</v>
      </c>
      <c r="E22" s="1" t="inlineStr">
        <is>
          <t>HOST8544</t>
        </is>
      </c>
      <c r="F22" s="1" t="n">
        <v>7702</v>
      </c>
      <c r="G22" s="1" t="inlineStr">
        <is>
          <t>SCO-7702</t>
        </is>
      </c>
      <c r="H22" s="1" t="inlineStr">
        <is>
          <t>SCO.DAT</t>
        </is>
      </c>
      <c r="I22" s="5">
        <f>N22-M22</f>
        <v/>
      </c>
      <c r="J22" s="6">
        <f>P22-O22</f>
        <v/>
      </c>
      <c r="K22" s="20" t="inlineStr">
        <is>
          <t>12 GB</t>
        </is>
      </c>
      <c r="L22" s="15" t="n">
        <v>4</v>
      </c>
      <c r="M22" s="13" t="n">
        <v>0.4034722222222222</v>
      </c>
      <c r="N22" s="13" t="n">
        <v>0.4159722222222222</v>
      </c>
      <c r="O22" s="13" t="n">
        <v>0.4652777777777778</v>
      </c>
      <c r="P22" s="13" t="n">
        <v>0.4673611111111111</v>
      </c>
      <c r="Q22" s="3" t="n">
        <v>46114</v>
      </c>
      <c r="R22" s="7" t="n"/>
      <c r="S22" s="7">
        <f>IF(OR(ISNUMBER(SEARCH("reimage",R22)),ISNUMBER(SEARCH("lab",R22)),ISNUMBER(SEARCH("test",R22))),"Reimage/Lab Support","Production Imaging")</f>
        <v/>
      </c>
      <c r="T22">
        <f>IF(V22&lt;=4,"4",IF(V22&lt;=8,"8",IF(V22&lt;=12,"12","16+")))</f>
        <v/>
      </c>
      <c r="U22">
        <f>IF(L22,"≤4",IF(L22&lt;=6,"6","8+"))</f>
        <v/>
      </c>
      <c r="V22" s="9">
        <f>VALUE(SUBSTITUTE(K22," GB",""))</f>
        <v/>
      </c>
    </row>
    <row r="23" ht="28.8" customHeight="1" s="25">
      <c r="A23" s="1" t="inlineStr">
        <is>
          <t>Location309</t>
        </is>
      </c>
      <c r="B23" s="1" t="inlineStr">
        <is>
          <t>3909</t>
        </is>
      </c>
      <c r="C23" s="1" t="inlineStr">
        <is>
          <t>SCO</t>
        </is>
      </c>
      <c r="D23" s="1" t="n">
        <v>2</v>
      </c>
      <c r="E23" s="1" t="inlineStr">
        <is>
          <t>HOST2243</t>
        </is>
      </c>
      <c r="F23" s="1" t="n">
        <v>7703</v>
      </c>
      <c r="G23" s="1" t="inlineStr">
        <is>
          <t>SCO-7703</t>
        </is>
      </c>
      <c r="H23" s="1" t="inlineStr">
        <is>
          <t>SCO.DAT</t>
        </is>
      </c>
      <c r="I23" s="5">
        <f>N23-M23</f>
        <v/>
      </c>
      <c r="J23" s="6">
        <f>P23-O23</f>
        <v/>
      </c>
      <c r="K23" s="20" t="inlineStr">
        <is>
          <t>16 GB</t>
        </is>
      </c>
      <c r="L23" s="15" t="n">
        <v>2</v>
      </c>
      <c r="M23" s="13" t="n">
        <v>0.5298611111111111</v>
      </c>
      <c r="N23" s="13" t="n">
        <v>0.5604166666666667</v>
      </c>
      <c r="O23" s="13" t="n">
        <v>0.5638888888888889</v>
      </c>
      <c r="P23" s="13" t="n">
        <v>0.5666666666666667</v>
      </c>
      <c r="Q23" s="3" t="n">
        <v>46114</v>
      </c>
      <c r="R23" s="7" t="n"/>
      <c r="S23" s="7">
        <f>IF(OR(ISNUMBER(SEARCH("reimage",R23)),ISNUMBER(SEARCH("lab",R23)),ISNUMBER(SEARCH("test",R23))),"Reimage/Lab Support","Production Imaging")</f>
        <v/>
      </c>
      <c r="T23">
        <f>IF(V23&lt;=4,"4",IF(V23&lt;=8,"8",IF(V23&lt;=12,"12","16+")))</f>
        <v/>
      </c>
      <c r="U23">
        <f>IF(L23,"≤4",IF(L23&lt;=6,"6","8+"))</f>
        <v/>
      </c>
      <c r="V23" s="9">
        <f>VALUE(SUBSTITUTE(K23," GB",""))</f>
        <v/>
      </c>
    </row>
    <row r="24" ht="28.8" customHeight="1" s="25">
      <c r="A24" s="1" t="inlineStr">
        <is>
          <t>N/A</t>
        </is>
      </c>
      <c r="B24" s="15" t="inlineStr">
        <is>
          <t>N/A</t>
        </is>
      </c>
      <c r="C24" s="1" t="inlineStr">
        <is>
          <t>SCO</t>
        </is>
      </c>
      <c r="D24" s="15" t="inlineStr">
        <is>
          <t>N/A</t>
        </is>
      </c>
      <c r="E24" s="1" t="inlineStr">
        <is>
          <t>N/A</t>
        </is>
      </c>
      <c r="F24" s="1" t="n">
        <v>7703</v>
      </c>
      <c r="G24" s="1" t="inlineStr">
        <is>
          <t>SCO-7703</t>
        </is>
      </c>
      <c r="H24" s="1" t="inlineStr">
        <is>
          <t>SCO.DAT</t>
        </is>
      </c>
      <c r="I24" s="5">
        <f>N24-M24</f>
        <v/>
      </c>
      <c r="J24" s="6" t="inlineStr">
        <is>
          <t>N/A</t>
        </is>
      </c>
      <c r="K24" s="20" t="inlineStr">
        <is>
          <t>16 GB</t>
        </is>
      </c>
      <c r="L24" s="15" t="n">
        <v>4</v>
      </c>
      <c r="M24" s="13" t="n">
        <v>0.4583333333333333</v>
      </c>
      <c r="N24" s="13" t="n">
        <v>0.5</v>
      </c>
      <c r="O24" t="inlineStr">
        <is>
          <t>N/A</t>
        </is>
      </c>
      <c r="P24" t="inlineStr">
        <is>
          <t>N/A</t>
        </is>
      </c>
      <c r="Q24" s="3" t="n">
        <v>46114</v>
      </c>
      <c r="R24" s="7" t="inlineStr">
        <is>
          <t xml:space="preserve">Reimaged for GIL lab testing </t>
        </is>
      </c>
      <c r="S24" s="7">
        <f>IF(OR(ISNUMBER(SEARCH("reimage",R24)),ISNUMBER(SEARCH("lab",R24)),ISNUMBER(SEARCH("test",R24))),"Reimage/Lab Support","Production Imaging")</f>
        <v/>
      </c>
      <c r="T24">
        <f>IF(V24&lt;=4,"4",IF(V24&lt;=8,"8",IF(V24&lt;=12,"12","16+")))</f>
        <v/>
      </c>
      <c r="U24">
        <f>IF(L24,"≤4",IF(L24&lt;=6,"6","8+"))</f>
        <v/>
      </c>
      <c r="V24" s="9">
        <f>VALUE(SUBSTITUTE(K24," GB",""))</f>
        <v/>
      </c>
    </row>
    <row r="25" ht="43.2" customHeight="1" s="25">
      <c r="A25" s="1" t="inlineStr">
        <is>
          <t>Location592</t>
        </is>
      </c>
      <c r="B25" s="1" t="inlineStr">
        <is>
          <t>3236</t>
        </is>
      </c>
      <c r="C25" s="1" t="inlineStr">
        <is>
          <t>In LANE</t>
        </is>
      </c>
      <c r="D25" s="1" t="n">
        <v>7</v>
      </c>
      <c r="E25" s="1" t="inlineStr">
        <is>
          <t>HOST4217</t>
        </is>
      </c>
      <c r="F25" s="1" t="n">
        <v>7702</v>
      </c>
      <c r="G25" s="1" t="inlineStr">
        <is>
          <t>POS-7702</t>
        </is>
      </c>
      <c r="H25" s="1" t="inlineStr">
        <is>
          <t>SAL.DAT</t>
        </is>
      </c>
      <c r="I25" s="5">
        <f>N25-M25</f>
        <v/>
      </c>
      <c r="J25" s="6">
        <f>P25-O25</f>
        <v/>
      </c>
      <c r="K25" s="20" t="inlineStr">
        <is>
          <t>12 GB</t>
        </is>
      </c>
      <c r="L25" s="15" t="n">
        <v>4</v>
      </c>
      <c r="M25" s="13" t="n">
        <v>0.5576388888888889</v>
      </c>
      <c r="N25" s="13" t="n">
        <v>0.5756944444444444</v>
      </c>
      <c r="O25" s="13" t="n">
        <v>0.58125</v>
      </c>
      <c r="P25" s="13" t="n">
        <v>0.5833333333333334</v>
      </c>
      <c r="Q25" s="3" t="n">
        <v>46114</v>
      </c>
      <c r="R25" s="7" t="n"/>
      <c r="S25" s="7">
        <f>IF(OR(ISNUMBER(SEARCH("reimage",R25)),ISNUMBER(SEARCH("lab",R25)),ISNUMBER(SEARCH("test",R25))),"Reimage/Lab Support","Production Imaging")</f>
        <v/>
      </c>
      <c r="T25">
        <f>IF(V25&lt;=4,"4",IF(V25&lt;=8,"8",IF(V25&lt;=12,"12","16+")))</f>
        <v/>
      </c>
      <c r="U25">
        <f>IF(L25,"≤4",IF(L25&lt;=6,"6","8+"))</f>
        <v/>
      </c>
      <c r="V25" s="9">
        <f>VALUE(SUBSTITUTE(K25," GB",""))</f>
        <v/>
      </c>
    </row>
    <row r="26" ht="28.8" customHeight="1" s="25">
      <c r="A26" s="1" t="inlineStr">
        <is>
          <t>Location828</t>
        </is>
      </c>
      <c r="B26" s="1" t="inlineStr">
        <is>
          <t>8209</t>
        </is>
      </c>
      <c r="C26" s="1" t="inlineStr">
        <is>
          <t>In LANE</t>
        </is>
      </c>
      <c r="D26" s="1" t="n">
        <v>14</v>
      </c>
      <c r="E26" s="1" t="inlineStr">
        <is>
          <t>HOST7539</t>
        </is>
      </c>
      <c r="F26" s="1" t="n">
        <v>7703</v>
      </c>
      <c r="G26" s="1" t="inlineStr">
        <is>
          <t>POS-7703</t>
        </is>
      </c>
      <c r="H26" s="1" t="inlineStr">
        <is>
          <t>POS.DAT</t>
        </is>
      </c>
      <c r="I26" s="5">
        <f>N26-M26</f>
        <v/>
      </c>
      <c r="J26" s="6">
        <f>P26-O26</f>
        <v/>
      </c>
      <c r="K26" s="20" t="inlineStr">
        <is>
          <t>16 GB</t>
        </is>
      </c>
      <c r="L26" s="15" t="n">
        <v>2</v>
      </c>
      <c r="M26" s="13" t="n">
        <v>0.6444444444444445</v>
      </c>
      <c r="N26" s="13" t="n">
        <v>0.6597222222222222</v>
      </c>
      <c r="O26" s="13" t="n">
        <v>0.6673611111111111</v>
      </c>
      <c r="P26" s="13" t="n">
        <v>0.66875</v>
      </c>
      <c r="Q26" s="3" t="n">
        <v>46114</v>
      </c>
      <c r="R26" s="7" t="n"/>
      <c r="S26" s="7">
        <f>IF(OR(ISNUMBER(SEARCH("reimage",R26)),ISNUMBER(SEARCH("lab",R26)),ISNUMBER(SEARCH("test",R26))),"Reimage/Lab Support","Production Imaging")</f>
        <v/>
      </c>
      <c r="T26">
        <f>IF(V26&lt;=4,"4",IF(V26&lt;=8,"8",IF(V26&lt;=12,"12","16+")))</f>
        <v/>
      </c>
      <c r="U26">
        <f>IF(L26,"≤4",IF(L26&lt;=6,"6","8+"))</f>
        <v/>
      </c>
      <c r="V26" s="9">
        <f>VALUE(SUBSTITUTE(K26," GB",""))</f>
        <v/>
      </c>
    </row>
    <row r="27" ht="28.8" customHeight="1" s="25">
      <c r="A27" s="1" t="inlineStr">
        <is>
          <t>Location301</t>
        </is>
      </c>
      <c r="B27" s="1" t="inlineStr">
        <is>
          <t>1458</t>
        </is>
      </c>
      <c r="C27" s="1" t="inlineStr">
        <is>
          <t>In LANE</t>
        </is>
      </c>
      <c r="D27" s="1" t="n">
        <v>4</v>
      </c>
      <c r="E27" s="1" t="inlineStr">
        <is>
          <t>HOST9554</t>
        </is>
      </c>
      <c r="F27" s="1" t="n">
        <v>7702</v>
      </c>
      <c r="G27" s="1" t="inlineStr">
        <is>
          <t>POS-7702</t>
        </is>
      </c>
      <c r="H27" s="1" t="inlineStr">
        <is>
          <t>SAL.DAT</t>
        </is>
      </c>
      <c r="I27" s="5">
        <f>N27-M27</f>
        <v/>
      </c>
      <c r="J27" s="6">
        <f>P27-O27</f>
        <v/>
      </c>
      <c r="K27" s="20" t="inlineStr">
        <is>
          <t>12 GB</t>
        </is>
      </c>
      <c r="L27" s="15" t="n">
        <v>4</v>
      </c>
      <c r="M27" s="13" t="n">
        <v>0.6256944444444444</v>
      </c>
      <c r="N27" s="13" t="n">
        <v>0.6388888888888888</v>
      </c>
      <c r="O27" s="13" t="n">
        <v>0.6409722222222223</v>
      </c>
      <c r="P27" s="13" t="n">
        <v>0.6423611111111112</v>
      </c>
      <c r="Q27" s="3" t="n">
        <v>46114</v>
      </c>
      <c r="R27" s="7" t="n"/>
      <c r="S27" s="7">
        <f>IF(OR(ISNUMBER(SEARCH("reimage",R27)),ISNUMBER(SEARCH("lab",R27)),ISNUMBER(SEARCH("test",R27))),"Reimage/Lab Support","Production Imaging")</f>
        <v/>
      </c>
      <c r="T27">
        <f>IF(V27&lt;=4,"4",IF(V27&lt;=8,"8",IF(V27&lt;=12,"12","16+")))</f>
        <v/>
      </c>
      <c r="U27">
        <f>IF(L27,"≤4",IF(L27&lt;=6,"6","8+"))</f>
        <v/>
      </c>
      <c r="V27" s="9">
        <f>VALUE(SUBSTITUTE(K27," GB",""))</f>
        <v/>
      </c>
    </row>
    <row r="28" ht="28.8" customHeight="1" s="25">
      <c r="A28" s="1" t="inlineStr">
        <is>
          <t>Location654</t>
        </is>
      </c>
      <c r="B28" s="1" t="inlineStr">
        <is>
          <t>7107</t>
        </is>
      </c>
      <c r="C28" s="1" t="inlineStr">
        <is>
          <t>SCO</t>
        </is>
      </c>
      <c r="D28" s="1" t="n">
        <v>1</v>
      </c>
      <c r="E28" s="1" t="inlineStr">
        <is>
          <t>HOST4816</t>
        </is>
      </c>
      <c r="F28" s="1" t="n">
        <v>7702</v>
      </c>
      <c r="G28" s="1" t="inlineStr">
        <is>
          <t>SCO-7702</t>
        </is>
      </c>
      <c r="H28" s="1" t="inlineStr">
        <is>
          <t>SCO.DAT</t>
        </is>
      </c>
      <c r="I28" s="5">
        <f>N28-M28</f>
        <v/>
      </c>
      <c r="J28" s="6">
        <f>P28-O28</f>
        <v/>
      </c>
      <c r="K28" s="20" t="inlineStr">
        <is>
          <t>4 GB</t>
        </is>
      </c>
      <c r="L28" s="15" t="n">
        <v>2</v>
      </c>
      <c r="M28" s="13" t="n">
        <v>0.5770833333333333</v>
      </c>
      <c r="N28" s="13" t="n">
        <v>0.5958333333333333</v>
      </c>
      <c r="O28" s="13" t="n">
        <v>0.6034722222222222</v>
      </c>
      <c r="P28" s="13" t="n">
        <v>0.6076388888888888</v>
      </c>
      <c r="Q28" s="3" t="n">
        <v>46114</v>
      </c>
      <c r="R28" s="7" t="n"/>
      <c r="S28" s="7">
        <f>IF(OR(ISNUMBER(SEARCH("reimage",R28)),ISNUMBER(SEARCH("lab",R28)),ISNUMBER(SEARCH("test",R28))),"Reimage/Lab Support","Production Imaging")</f>
        <v/>
      </c>
      <c r="T28">
        <f>IF(V28&lt;=4,"4",IF(V28&lt;=8,"8",IF(V28&lt;=12,"12","16+")))</f>
        <v/>
      </c>
      <c r="U28">
        <f>IF(L28,"≤4",IF(L28&lt;=6,"6","8+"))</f>
        <v/>
      </c>
      <c r="V28" s="9">
        <f>VALUE(SUBSTITUTE(K28," GB",""))</f>
        <v/>
      </c>
    </row>
    <row r="29" ht="28.8" customHeight="1" s="25">
      <c r="A29" s="1" t="inlineStr">
        <is>
          <t>N/A</t>
        </is>
      </c>
      <c r="B29" t="inlineStr">
        <is>
          <t>N/A</t>
        </is>
      </c>
      <c r="C29" s="1" t="inlineStr">
        <is>
          <t>POS</t>
        </is>
      </c>
      <c r="D29" t="inlineStr">
        <is>
          <t>N/A</t>
        </is>
      </c>
      <c r="E29" s="1" t="inlineStr">
        <is>
          <t>N/A</t>
        </is>
      </c>
      <c r="F29" s="1" t="n">
        <v>7702</v>
      </c>
      <c r="G29" s="1" t="inlineStr">
        <is>
          <t>POS-7702</t>
        </is>
      </c>
      <c r="H29" s="1" t="inlineStr">
        <is>
          <t>POS.DAT</t>
        </is>
      </c>
      <c r="I29" s="5">
        <f>N29-M29</f>
        <v/>
      </c>
      <c r="J29" s="6" t="inlineStr">
        <is>
          <t>N/A</t>
        </is>
      </c>
      <c r="K29" s="20" t="inlineStr">
        <is>
          <t>16 GB</t>
        </is>
      </c>
      <c r="L29" s="15" t="n">
        <v>4</v>
      </c>
      <c r="M29" s="13" t="n">
        <v>0.6006944444444444</v>
      </c>
      <c r="N29" s="13" t="n">
        <v>0.6118055555555556</v>
      </c>
      <c r="O29" t="inlineStr">
        <is>
          <t>N/A</t>
        </is>
      </c>
      <c r="P29" t="inlineStr">
        <is>
          <t>N/A</t>
        </is>
      </c>
      <c r="Q29" s="3" t="n">
        <v>46114</v>
      </c>
      <c r="R29" s="7" t="inlineStr">
        <is>
          <t xml:space="preserve">Reimaged for GIL lab testing </t>
        </is>
      </c>
      <c r="S29" s="7">
        <f>IF(OR(ISNUMBER(SEARCH("reimage",R29)),ISNUMBER(SEARCH("lab",R29)),ISNUMBER(SEARCH("test",R29))),"Reimage/Lab Support","Production Imaging")</f>
        <v/>
      </c>
      <c r="T29">
        <f>IF(V29&lt;=4,"4",IF(V29&lt;=8,"8",IF(V29&lt;=12,"12","16+")))</f>
        <v/>
      </c>
      <c r="U29">
        <f>IF(L29,"≤4",IF(L29&lt;=6,"6","8+"))</f>
        <v/>
      </c>
      <c r="V29" s="9">
        <f>VALUE(SUBSTITUTE(K29," GB",""))</f>
        <v/>
      </c>
    </row>
    <row r="30" ht="28.8" customHeight="1" s="25">
      <c r="A30" s="1" t="inlineStr">
        <is>
          <t>Location564</t>
        </is>
      </c>
      <c r="B30" s="1" t="inlineStr">
        <is>
          <t>9615</t>
        </is>
      </c>
      <c r="C30" s="1" t="inlineStr">
        <is>
          <t>SCO</t>
        </is>
      </c>
      <c r="D30" s="1" t="n">
        <v>6</v>
      </c>
      <c r="E30" s="1" t="inlineStr">
        <is>
          <t>HOST7263</t>
        </is>
      </c>
      <c r="F30" s="1" t="n">
        <v>7702</v>
      </c>
      <c r="G30" s="1" t="inlineStr">
        <is>
          <t>SCO-7702</t>
        </is>
      </c>
      <c r="H30" s="1" t="inlineStr">
        <is>
          <t>SCO.DAT</t>
        </is>
      </c>
      <c r="I30" s="5">
        <f>N30-M30</f>
        <v/>
      </c>
      <c r="J30" s="6">
        <f>P30-O30</f>
        <v/>
      </c>
      <c r="K30" s="20" t="inlineStr">
        <is>
          <t>12 GB</t>
        </is>
      </c>
      <c r="L30" s="15" t="n">
        <v>4</v>
      </c>
      <c r="M30" s="13" t="n">
        <v>0.4361111111111111</v>
      </c>
      <c r="N30" s="13" t="n">
        <v>0.4472222222222222</v>
      </c>
      <c r="O30" s="13" t="n">
        <v>0.4513888888888889</v>
      </c>
      <c r="P30" s="13" t="n">
        <v>0.4534722222222222</v>
      </c>
      <c r="Q30" s="3" t="n">
        <v>46119</v>
      </c>
      <c r="R30" s="7" t="n"/>
      <c r="S30" s="7">
        <f>IF(OR(ISNUMBER(SEARCH("reimage",R30)),ISNUMBER(SEARCH("lab",R30)),ISNUMBER(SEARCH("test",R30))),"Reimage/Lab Support","Production Imaging")</f>
        <v/>
      </c>
      <c r="T30">
        <f>IF(V30&lt;=4,"4",IF(V30&lt;=8,"8",IF(V30&lt;=12,"12","16+")))</f>
        <v/>
      </c>
      <c r="U30">
        <f>IF(L30,"≤4",IF(L30&lt;=6,"6","8+"))</f>
        <v/>
      </c>
      <c r="V30" s="9">
        <f>VALUE(SUBSTITUTE(K30," GB",""))</f>
        <v/>
      </c>
    </row>
    <row r="31" ht="28.8" customHeight="1" s="25">
      <c r="A31" s="1" t="inlineStr">
        <is>
          <t>Location256</t>
        </is>
      </c>
      <c r="B31" s="1" t="inlineStr">
        <is>
          <t>8101</t>
        </is>
      </c>
      <c r="C31" s="1" t="inlineStr">
        <is>
          <t>In LANE</t>
        </is>
      </c>
      <c r="D31" s="1" t="n">
        <v>16</v>
      </c>
      <c r="E31" s="1" t="inlineStr">
        <is>
          <t>HOST3265</t>
        </is>
      </c>
      <c r="F31" s="1" t="n">
        <v>7702</v>
      </c>
      <c r="G31" s="1" t="inlineStr">
        <is>
          <t>POS-7702</t>
        </is>
      </c>
      <c r="H31" s="1" t="inlineStr">
        <is>
          <t>POS.DAT</t>
        </is>
      </c>
      <c r="I31" s="5">
        <f>N31-M31</f>
        <v/>
      </c>
      <c r="J31" s="6">
        <f>P31-O31</f>
        <v/>
      </c>
      <c r="K31" s="20" t="inlineStr">
        <is>
          <t>4 GB</t>
        </is>
      </c>
      <c r="L31" s="15" t="n">
        <v>2</v>
      </c>
      <c r="M31" s="13" t="n">
        <v>0.4361111111111111</v>
      </c>
      <c r="N31" s="13" t="n">
        <v>0.4583333333333333</v>
      </c>
      <c r="O31" s="13" t="n">
        <v>0.4604166666666666</v>
      </c>
      <c r="P31" s="13" t="n">
        <v>0.4638888888888889</v>
      </c>
      <c r="Q31" s="3" t="n">
        <v>46119</v>
      </c>
      <c r="R31" s="7" t="n"/>
      <c r="S31" s="7">
        <f>IF(OR(ISNUMBER(SEARCH("reimage",R31)),ISNUMBER(SEARCH("lab",R31)),ISNUMBER(SEARCH("test",R31))),"Reimage/Lab Support","Production Imaging")</f>
        <v/>
      </c>
      <c r="T31">
        <f>IF(V31&lt;=4,"4",IF(V31&lt;=8,"8",IF(V31&lt;=12,"12","16+")))</f>
        <v/>
      </c>
      <c r="U31">
        <f>IF(L31,"≤4",IF(L31&lt;=6,"6","8+"))</f>
        <v/>
      </c>
      <c r="V31" s="9">
        <f>VALUE(SUBSTITUTE(K31," GB",""))</f>
        <v/>
      </c>
    </row>
    <row r="32" ht="28.8" customHeight="1" s="25">
      <c r="A32" s="1" t="inlineStr">
        <is>
          <t>Location785</t>
        </is>
      </c>
      <c r="B32" s="1" t="inlineStr">
        <is>
          <t>3457</t>
        </is>
      </c>
      <c r="C32" s="1" t="inlineStr">
        <is>
          <t>Wireless</t>
        </is>
      </c>
      <c r="D32" s="1" t="n">
        <v>2</v>
      </c>
      <c r="E32" s="1" t="inlineStr">
        <is>
          <t>HOST4677</t>
        </is>
      </c>
      <c r="F32" s="1" t="n">
        <v>7702</v>
      </c>
      <c r="G32" s="1" t="inlineStr">
        <is>
          <t>POS-7702</t>
        </is>
      </c>
      <c r="H32" s="1" t="inlineStr">
        <is>
          <t>POS.DAT</t>
        </is>
      </c>
      <c r="I32" s="5">
        <f>N32-M32</f>
        <v/>
      </c>
      <c r="J32" s="6">
        <f>P32-O32</f>
        <v/>
      </c>
      <c r="K32" s="20" t="inlineStr">
        <is>
          <t>12 GB</t>
        </is>
      </c>
      <c r="L32" s="15" t="n">
        <v>4</v>
      </c>
      <c r="M32" s="13" t="n">
        <v>0.5444444444444444</v>
      </c>
      <c r="N32" s="13" t="n">
        <v>0.5597222222222222</v>
      </c>
      <c r="O32" s="13" t="n">
        <v>0.5638888888888889</v>
      </c>
      <c r="P32" s="13" t="n">
        <v>0.5659722222222222</v>
      </c>
      <c r="Q32" s="3" t="n">
        <v>46119</v>
      </c>
      <c r="R32" s="7" t="n"/>
      <c r="S32" s="7">
        <f>IF(OR(ISNUMBER(SEARCH("reimage",R32)),ISNUMBER(SEARCH("lab",R32)),ISNUMBER(SEARCH("test",R32))),"Reimage/Lab Support","Production Imaging")</f>
        <v/>
      </c>
      <c r="T32">
        <f>IF(V32&lt;=4,"4",IF(V32&lt;=8,"8",IF(V32&lt;=12,"12","16+")))</f>
        <v/>
      </c>
      <c r="U32">
        <f>IF(L32,"≤4",IF(L32&lt;=6,"6","8+"))</f>
        <v/>
      </c>
      <c r="V32" s="9">
        <f>VALUE(SUBSTITUTE(K32," GB",""))</f>
        <v/>
      </c>
    </row>
    <row r="33" ht="28.8" customHeight="1" s="25">
      <c r="A33" s="1" t="inlineStr">
        <is>
          <t>Location596</t>
        </is>
      </c>
      <c r="B33" s="1" t="inlineStr">
        <is>
          <t>6385</t>
        </is>
      </c>
      <c r="C33" s="1" t="inlineStr">
        <is>
          <t>In LANE</t>
        </is>
      </c>
      <c r="D33" s="1" t="n">
        <v>2</v>
      </c>
      <c r="E33" s="1" t="inlineStr">
        <is>
          <t>HOST9573</t>
        </is>
      </c>
      <c r="F33" s="1" t="n">
        <v>7702</v>
      </c>
      <c r="G33" s="1" t="inlineStr">
        <is>
          <t>POS-7702</t>
        </is>
      </c>
      <c r="H33" s="1" t="inlineStr">
        <is>
          <t>POS.DAT</t>
        </is>
      </c>
      <c r="I33" s="5">
        <f>N33-M33</f>
        <v/>
      </c>
      <c r="J33" s="6">
        <f>P33-O33</f>
        <v/>
      </c>
      <c r="K33" s="20" t="inlineStr">
        <is>
          <t>12 GB</t>
        </is>
      </c>
      <c r="L33" s="15" t="n">
        <v>4</v>
      </c>
      <c r="M33" s="13" t="n">
        <v>0.5173611111111112</v>
      </c>
      <c r="N33" s="13" t="n">
        <v>0.53125</v>
      </c>
      <c r="O33" s="13" t="n">
        <v>0.5354166666666667</v>
      </c>
      <c r="P33" s="13" t="n">
        <v>0.5375</v>
      </c>
      <c r="Q33" s="3" t="n">
        <v>46119</v>
      </c>
      <c r="R33" s="7" t="n"/>
      <c r="S33" s="7">
        <f>IF(OR(ISNUMBER(SEARCH("reimage",R33)),ISNUMBER(SEARCH("lab",R33)),ISNUMBER(SEARCH("test",R33))),"Reimage/Lab Support","Production Imaging")</f>
        <v/>
      </c>
      <c r="T33">
        <f>IF(V33&lt;=4,"4",IF(V33&lt;=8,"8",IF(V33&lt;=12,"12","16+")))</f>
        <v/>
      </c>
      <c r="U33">
        <f>IF(L33,"≤4",IF(L33&lt;=6,"6","8+"))</f>
        <v/>
      </c>
      <c r="V33" s="9">
        <f>VALUE(SUBSTITUTE(K33," GB",""))</f>
        <v/>
      </c>
    </row>
    <row r="34" ht="28.8" customHeight="1" s="25">
      <c r="A34" s="1" t="inlineStr">
        <is>
          <t>Location378</t>
        </is>
      </c>
      <c r="B34" s="1" t="inlineStr">
        <is>
          <t>2399</t>
        </is>
      </c>
      <c r="C34" s="1" t="inlineStr">
        <is>
          <t>SCO</t>
        </is>
      </c>
      <c r="D34" s="1" t="n">
        <v>1</v>
      </c>
      <c r="E34" s="1" t="inlineStr">
        <is>
          <t>HOST4943</t>
        </is>
      </c>
      <c r="F34" s="1" t="n">
        <v>7702</v>
      </c>
      <c r="G34" s="1" t="inlineStr">
        <is>
          <t>SCO-7702</t>
        </is>
      </c>
      <c r="H34" s="1" t="inlineStr">
        <is>
          <t>SCO.DAT</t>
        </is>
      </c>
      <c r="I34" s="5">
        <f>N34-M34</f>
        <v/>
      </c>
      <c r="J34" s="6">
        <f>P34-O34</f>
        <v/>
      </c>
      <c r="K34" s="20" t="inlineStr">
        <is>
          <t>12 GB</t>
        </is>
      </c>
      <c r="L34" s="15" t="n">
        <v>4</v>
      </c>
      <c r="M34" s="13" t="n">
        <v>0.4604166666666666</v>
      </c>
      <c r="N34" s="13" t="n">
        <v>0.4701388888888889</v>
      </c>
      <c r="O34" s="13" t="n">
        <v>0.4756944444444444</v>
      </c>
      <c r="P34" s="13" t="n">
        <v>0.4777777777777778</v>
      </c>
      <c r="Q34" s="3" t="n">
        <v>46119</v>
      </c>
      <c r="R34" s="7" t="n"/>
      <c r="S34" s="7">
        <f>IF(OR(ISNUMBER(SEARCH("reimage",R34)),ISNUMBER(SEARCH("lab",R34)),ISNUMBER(SEARCH("test",R34))),"Reimage/Lab Support","Production Imaging")</f>
        <v/>
      </c>
      <c r="T34">
        <f>IF(V34&lt;=4,"4",IF(V34&lt;=8,"8",IF(V34&lt;=12,"12","16+")))</f>
        <v/>
      </c>
      <c r="U34">
        <f>IF(L34,"≤4",IF(L34&lt;=6,"6","8+"))</f>
        <v/>
      </c>
      <c r="V34" s="9">
        <f>VALUE(SUBSTITUTE(K34," GB",""))</f>
        <v/>
      </c>
    </row>
    <row r="35" ht="43.2" customHeight="1" s="25">
      <c r="A35" s="1" t="inlineStr">
        <is>
          <t>Location637</t>
        </is>
      </c>
      <c r="B35" s="1" t="inlineStr">
        <is>
          <t>2854</t>
        </is>
      </c>
      <c r="C35" s="1" t="inlineStr">
        <is>
          <t>In LANE</t>
        </is>
      </c>
      <c r="D35" s="1" t="n">
        <v>2</v>
      </c>
      <c r="E35" s="1" t="inlineStr">
        <is>
          <t>HOST2883</t>
        </is>
      </c>
      <c r="F35" s="1" t="n">
        <v>7702</v>
      </c>
      <c r="G35" s="1" t="inlineStr">
        <is>
          <t>POS-7702</t>
        </is>
      </c>
      <c r="H35" s="1" t="inlineStr">
        <is>
          <t>POS.DAT</t>
        </is>
      </c>
      <c r="I35" s="5">
        <f>N35-M35</f>
        <v/>
      </c>
      <c r="J35" s="6">
        <f>P35-O35</f>
        <v/>
      </c>
      <c r="K35" s="20" t="inlineStr">
        <is>
          <t>12 GB</t>
        </is>
      </c>
      <c r="L35" s="15" t="n">
        <v>4</v>
      </c>
      <c r="M35" s="13" t="n">
        <v>0.4902777777777778</v>
      </c>
      <c r="N35" s="13" t="n">
        <v>0.5041666666666667</v>
      </c>
      <c r="O35" s="13" t="n">
        <v>0.50625</v>
      </c>
      <c r="P35" s="13" t="n">
        <v>0.5083333333333333</v>
      </c>
      <c r="Q35" s="3" t="n">
        <v>46119</v>
      </c>
      <c r="R35" s="7" t="n"/>
      <c r="S35" s="7">
        <f>IF(OR(ISNUMBER(SEARCH("reimage",R35)),ISNUMBER(SEARCH("lab",R35)),ISNUMBER(SEARCH("test",R35))),"Reimage/Lab Support","Production Imaging")</f>
        <v/>
      </c>
      <c r="T35">
        <f>IF(V35&lt;=4,"4",IF(V35&lt;=8,"8",IF(V35&lt;=12,"12","16+")))</f>
        <v/>
      </c>
      <c r="U35">
        <f>IF(L35,"≤4",IF(L35&lt;=6,"6","8+"))</f>
        <v/>
      </c>
      <c r="V35" s="9">
        <f>VALUE(SUBSTITUTE(K35," GB",""))</f>
        <v/>
      </c>
    </row>
    <row r="36" ht="28.8" customHeight="1" s="25">
      <c r="A36" s="1" t="inlineStr">
        <is>
          <t>N/A</t>
        </is>
      </c>
      <c r="B36" t="inlineStr">
        <is>
          <t>N/A</t>
        </is>
      </c>
      <c r="C36" s="1" t="inlineStr">
        <is>
          <t>POS</t>
        </is>
      </c>
      <c r="D36" t="inlineStr">
        <is>
          <t>N/A</t>
        </is>
      </c>
      <c r="E36" s="1" t="inlineStr">
        <is>
          <t>N/A</t>
        </is>
      </c>
      <c r="F36" s="1" t="n">
        <v>7702</v>
      </c>
      <c r="G36" s="1" t="inlineStr">
        <is>
          <t>POS-7702</t>
        </is>
      </c>
      <c r="H36" s="1" t="inlineStr">
        <is>
          <t>POS.DAT</t>
        </is>
      </c>
      <c r="I36" s="5">
        <f>N36-M36</f>
        <v/>
      </c>
      <c r="J36" s="6" t="inlineStr">
        <is>
          <t>N/A</t>
        </is>
      </c>
      <c r="K36" s="20" t="inlineStr">
        <is>
          <t>16 GB</t>
        </is>
      </c>
      <c r="L36" s="15" t="n">
        <v>4</v>
      </c>
      <c r="M36" s="13" t="n">
        <v>0.4736111111111111</v>
      </c>
      <c r="N36" s="13" t="n">
        <v>0.4840277777777778</v>
      </c>
      <c r="O36" t="inlineStr">
        <is>
          <t>N/A</t>
        </is>
      </c>
      <c r="P36" t="inlineStr">
        <is>
          <t>N/A</t>
        </is>
      </c>
      <c r="Q36" s="3" t="n">
        <v>46119</v>
      </c>
      <c r="R36" s="7" t="inlineStr">
        <is>
          <t xml:space="preserve">Reimaged for GIL lab testing </t>
        </is>
      </c>
      <c r="S36" s="7">
        <f>IF(OR(ISNUMBER(SEARCH("reimage",R36)),ISNUMBER(SEARCH("lab",R36)),ISNUMBER(SEARCH("test",R36))),"Reimage/Lab Support","Production Imaging")</f>
        <v/>
      </c>
      <c r="T36">
        <f>IF(V36&lt;=4,"4",IF(V36&lt;=8,"8",IF(V36&lt;=12,"12","16+")))</f>
        <v/>
      </c>
      <c r="U36">
        <f>IF(L36,"≤4",IF(L36&lt;=6,"6","8+"))</f>
        <v/>
      </c>
      <c r="V36" s="9">
        <f>VALUE(SUBSTITUTE(K36," GB",""))</f>
        <v/>
      </c>
    </row>
    <row r="37" ht="43.2" customHeight="1" s="25">
      <c r="A37" s="1" t="inlineStr">
        <is>
          <t>Location067</t>
        </is>
      </c>
      <c r="B37" t="inlineStr">
        <is>
          <t>6514</t>
        </is>
      </c>
      <c r="C37" s="1" t="inlineStr">
        <is>
          <t>SCO</t>
        </is>
      </c>
      <c r="D37" s="7" t="n">
        <v>2</v>
      </c>
      <c r="E37" s="1" t="inlineStr">
        <is>
          <t>HOST4827</t>
        </is>
      </c>
      <c r="F37" s="1" t="n">
        <v>7702</v>
      </c>
      <c r="G37" s="1" t="inlineStr">
        <is>
          <t>SCO-7702</t>
        </is>
      </c>
      <c r="H37" s="1" t="inlineStr">
        <is>
          <t>SCO.DAT</t>
        </is>
      </c>
      <c r="I37" s="5">
        <f>N37-M37</f>
        <v/>
      </c>
      <c r="J37" s="6">
        <f>P37-O37</f>
        <v/>
      </c>
      <c r="K37" s="20" t="inlineStr">
        <is>
          <t>12 GB</t>
        </is>
      </c>
      <c r="L37" s="15" t="n">
        <v>4</v>
      </c>
      <c r="M37" s="13" t="n">
        <v>0.5201388888888889</v>
      </c>
      <c r="N37" s="13" t="n">
        <v>0.5319444444444444</v>
      </c>
      <c r="O37" s="13" t="n">
        <v>0.5340277777777778</v>
      </c>
      <c r="P37" s="13" t="n">
        <v>0.5361111111111111</v>
      </c>
      <c r="Q37" s="3" t="n">
        <v>46121</v>
      </c>
      <c r="S37" s="7">
        <f>IF(OR(ISNUMBER(SEARCH("reimage",R37)),ISNUMBER(SEARCH("lab",R37)),ISNUMBER(SEARCH("test",R37))),"Reimage/Lab Support","Production Imaging")</f>
        <v/>
      </c>
      <c r="T37">
        <f>IF(V37&lt;=4,"4",IF(V37&lt;=8,"8",IF(V37&lt;=12,"12","16+")))</f>
        <v/>
      </c>
      <c r="U37">
        <f>IF(L37,"≤4",IF(L37&lt;=6,"6","8+"))</f>
        <v/>
      </c>
      <c r="V37" s="9">
        <f>VALUE(SUBSTITUTE(K37," GB",""))</f>
        <v/>
      </c>
    </row>
    <row r="38" ht="28.8" customHeight="1" s="25">
      <c r="A38" s="1" t="inlineStr">
        <is>
          <t>Location571</t>
        </is>
      </c>
      <c r="B38" s="1" t="inlineStr">
        <is>
          <t>1570</t>
        </is>
      </c>
      <c r="C38" s="1" t="inlineStr">
        <is>
          <t>SCO</t>
        </is>
      </c>
      <c r="D38" s="1" t="n">
        <v>1</v>
      </c>
      <c r="E38" s="1" t="inlineStr">
        <is>
          <t>HOST1544</t>
        </is>
      </c>
      <c r="F38" s="1" t="n">
        <v>7702</v>
      </c>
      <c r="G38" s="1" t="inlineStr">
        <is>
          <t>SCO-7702</t>
        </is>
      </c>
      <c r="H38" s="1" t="inlineStr">
        <is>
          <t>SCO.DAT</t>
        </is>
      </c>
      <c r="I38" s="5">
        <f>N38-M38</f>
        <v/>
      </c>
      <c r="J38" s="6">
        <f>P38-O38</f>
        <v/>
      </c>
      <c r="K38" s="20" t="inlineStr">
        <is>
          <t>12 GB</t>
        </is>
      </c>
      <c r="L38" s="15" t="n">
        <v>4</v>
      </c>
      <c r="M38" s="13" t="n">
        <v>0.5208333333333334</v>
      </c>
      <c r="N38" s="13" t="n">
        <v>0.5298611111111111</v>
      </c>
      <c r="O38" s="13" t="n">
        <v>0.53125</v>
      </c>
      <c r="P38" s="13" t="n">
        <v>0.5340277777777778</v>
      </c>
      <c r="Q38" s="3" t="n">
        <v>46125</v>
      </c>
      <c r="S38" s="7">
        <f>IF(OR(ISNUMBER(SEARCH("reimage",R38)),ISNUMBER(SEARCH("lab",R38)),ISNUMBER(SEARCH("test",R38))),"Reimage/Lab Support","Production Imaging")</f>
        <v/>
      </c>
      <c r="T38">
        <f>IF(V38&lt;=4,"4",IF(V38&lt;=8,"8",IF(V38&lt;=12,"12","16+")))</f>
        <v/>
      </c>
      <c r="U38">
        <f>IF(L38,"≤4",IF(L38&lt;=6,"6","8+"))</f>
        <v/>
      </c>
      <c r="V38" s="9">
        <f>VALUE(SUBSTITUTE(K38," GB",""))</f>
        <v/>
      </c>
    </row>
    <row r="39" ht="28.8" customHeight="1" s="25">
      <c r="A39" s="1" t="inlineStr">
        <is>
          <t>Location828</t>
        </is>
      </c>
      <c r="B39" s="1" t="inlineStr">
        <is>
          <t>8209</t>
        </is>
      </c>
      <c r="C39" s="1" t="inlineStr">
        <is>
          <t>SCO</t>
        </is>
      </c>
      <c r="D39" s="1" t="n">
        <v>5</v>
      </c>
      <c r="E39" s="1" t="inlineStr">
        <is>
          <t>HOST5236</t>
        </is>
      </c>
      <c r="F39" s="1" t="n">
        <v>7703</v>
      </c>
      <c r="G39" s="1" t="inlineStr">
        <is>
          <t>SCO-7703</t>
        </is>
      </c>
      <c r="H39" s="1" t="inlineStr">
        <is>
          <t>SCO.DAT</t>
        </is>
      </c>
      <c r="I39" s="5">
        <f>N39-M39</f>
        <v/>
      </c>
      <c r="J39" s="6">
        <f>P39-O39</f>
        <v/>
      </c>
      <c r="K39" s="20" t="inlineStr">
        <is>
          <t>16 GB</t>
        </is>
      </c>
      <c r="L39" s="15" t="n">
        <v>2</v>
      </c>
      <c r="M39" s="13" t="n">
        <v>0.4666666666666667</v>
      </c>
      <c r="N39" s="13" t="n">
        <v>0.4972222222222222</v>
      </c>
      <c r="O39" s="13" t="n">
        <v>0.5048611111111111</v>
      </c>
      <c r="P39" s="13" t="n">
        <v>0.5069444444444444</v>
      </c>
      <c r="Q39" s="3" t="n">
        <v>46128</v>
      </c>
      <c r="S39" s="7">
        <f>IF(OR(ISNUMBER(SEARCH("reimage",R39)),ISNUMBER(SEARCH("lab",R39)),ISNUMBER(SEARCH("test",R39))),"Reimage/Lab Support","Production Imaging")</f>
        <v/>
      </c>
      <c r="T39">
        <f>IF(V39&lt;=4,"4",IF(V39&lt;=8,"8",IF(V39&lt;=12,"12","16+")))</f>
        <v/>
      </c>
      <c r="U39">
        <f>IF(L39,"≤4",IF(L39&lt;=6,"6","8+"))</f>
        <v/>
      </c>
      <c r="V39" s="9">
        <f>VALUE(SUBSTITUTE(K39," GB",""))</f>
        <v/>
      </c>
    </row>
    <row r="40" ht="43.2" customHeight="1" s="25">
      <c r="A40" s="1" t="inlineStr">
        <is>
          <t>Location637</t>
        </is>
      </c>
      <c r="B40" s="1" t="inlineStr">
        <is>
          <t>2854</t>
        </is>
      </c>
      <c r="C40" s="1" t="inlineStr">
        <is>
          <t>In LANE</t>
        </is>
      </c>
      <c r="D40" s="1" t="n">
        <v>2</v>
      </c>
      <c r="E40" s="1" t="inlineStr">
        <is>
          <t>HOST2883</t>
        </is>
      </c>
      <c r="F40" s="1" t="n">
        <v>7702</v>
      </c>
      <c r="G40" s="1" t="inlineStr">
        <is>
          <t>POS-7702</t>
        </is>
      </c>
      <c r="H40" s="1" t="inlineStr">
        <is>
          <t>POS.DAT</t>
        </is>
      </c>
      <c r="I40" s="5">
        <f>N40-M40</f>
        <v/>
      </c>
      <c r="J40" s="6">
        <f>P40-O40</f>
        <v/>
      </c>
      <c r="K40" t="inlineStr">
        <is>
          <t>12 GB</t>
        </is>
      </c>
      <c r="L40" s="15" t="n">
        <v>4</v>
      </c>
      <c r="M40" s="13" t="n">
        <v>0.5583333333333333</v>
      </c>
      <c r="N40" s="13" t="n">
        <v>0.5736111111111111</v>
      </c>
      <c r="O40" s="13" t="n">
        <v>0.5756944444444444</v>
      </c>
      <c r="P40" s="13" t="n">
        <v>0.5777777777777777</v>
      </c>
      <c r="Q40" s="3" t="n">
        <v>46128</v>
      </c>
      <c r="S40" s="7">
        <f>IF(OR(ISNUMBER(SEARCH("reimage",R40)),ISNUMBER(SEARCH("lab",R40)),ISNUMBER(SEARCH("test",R40))),"Reimage/Lab Support","Production Imaging")</f>
        <v/>
      </c>
      <c r="T40">
        <f>IF(V40&lt;=4,"4",IF(V40&lt;=8,"8",IF(V40&lt;=12,"12","16+")))</f>
        <v/>
      </c>
      <c r="U40">
        <f>IF(L40,"≤4",IF(L40&lt;=6,"6","8+"))</f>
        <v/>
      </c>
      <c r="V40" s="9">
        <f>VALUE(SUBSTITUTE(K40," GB",""))</f>
        <v/>
      </c>
    </row>
    <row r="41" ht="43.2" customHeight="1" s="25">
      <c r="A41" s="1" t="inlineStr">
        <is>
          <t>Location225</t>
        </is>
      </c>
      <c r="B41" s="1" t="inlineStr">
        <is>
          <t>5524</t>
        </is>
      </c>
      <c r="C41" s="1" t="inlineStr">
        <is>
          <t>SCO Attendant Station</t>
        </is>
      </c>
      <c r="D41" s="1" t="n">
        <v>1</v>
      </c>
      <c r="E41" s="1" t="inlineStr">
        <is>
          <t>HOST9602</t>
        </is>
      </c>
      <c r="F41" s="1" t="n">
        <v>7703</v>
      </c>
      <c r="G41" s="1" t="inlineStr">
        <is>
          <t>POS-7703</t>
        </is>
      </c>
      <c r="H41" s="1" t="inlineStr">
        <is>
          <t>SCOA.DAT*</t>
        </is>
      </c>
      <c r="I41" s="5">
        <f>N41-M41</f>
        <v/>
      </c>
      <c r="J41" s="6">
        <f>P41-O41</f>
        <v/>
      </c>
      <c r="K41" s="20" t="inlineStr">
        <is>
          <t>16 GB</t>
        </is>
      </c>
      <c r="L41" s="15" t="n">
        <v>2</v>
      </c>
      <c r="M41" s="13" t="n">
        <v>0.5805555555555556</v>
      </c>
      <c r="N41" s="13" t="n">
        <v>0.5972222222222222</v>
      </c>
      <c r="O41" s="13" t="n">
        <v>0.6041666666666666</v>
      </c>
      <c r="P41" s="13" t="n">
        <v>0.60625</v>
      </c>
      <c r="Q41" s="3" t="n">
        <v>46128</v>
      </c>
      <c r="S41" s="7">
        <f>IF(OR(ISNUMBER(SEARCH("reimage",R41)),ISNUMBER(SEARCH("lab",R41)),ISNUMBER(SEARCH("test",R41))),"Reimage/Lab Support","Production Imaging")</f>
        <v/>
      </c>
      <c r="T41">
        <f>IF(V41&lt;=4,"4",IF(V41&lt;=8,"8",IF(V41&lt;=12,"12","16+")))</f>
        <v/>
      </c>
      <c r="U41">
        <f>IF(L41,"≤4",IF(L41&lt;=6,"6","8+"))</f>
        <v/>
      </c>
      <c r="V41" s="9">
        <f>VALUE(SUBSTITUTE(K41," GB",""))</f>
        <v/>
      </c>
    </row>
    <row r="42" ht="28.8" customHeight="1" s="25">
      <c r="A42" s="1" t="inlineStr">
        <is>
          <t>Location367</t>
        </is>
      </c>
      <c r="B42" s="1" t="inlineStr">
        <is>
          <t>4989</t>
        </is>
      </c>
      <c r="C42" s="1" t="inlineStr">
        <is>
          <t>In LANE</t>
        </is>
      </c>
      <c r="D42" s="1" t="n">
        <v>1</v>
      </c>
      <c r="E42" s="1" t="inlineStr">
        <is>
          <t>HOST3927</t>
        </is>
      </c>
      <c r="F42" s="1" t="n">
        <v>7702</v>
      </c>
      <c r="G42" s="1" t="inlineStr">
        <is>
          <t>POS-7702</t>
        </is>
      </c>
      <c r="H42" s="1" t="inlineStr">
        <is>
          <t>POS.DAT</t>
        </is>
      </c>
      <c r="I42" s="5">
        <f>N42-M42</f>
        <v/>
      </c>
      <c r="J42" s="6">
        <f>P42-O42</f>
        <v/>
      </c>
      <c r="K42" s="20" t="inlineStr">
        <is>
          <t>16 GB</t>
        </is>
      </c>
      <c r="L42" s="15" t="n">
        <v>2</v>
      </c>
      <c r="M42" s="13" t="n">
        <v>0.6055555555555555</v>
      </c>
      <c r="N42" s="13" t="n">
        <v>0.6215277777777778</v>
      </c>
      <c r="O42" s="13" t="n">
        <v>0.625</v>
      </c>
      <c r="P42" s="13" t="n">
        <v>0.6270833333333333</v>
      </c>
      <c r="Q42" s="3" t="n">
        <v>46132</v>
      </c>
      <c r="S42" s="7">
        <f>IF(OR(ISNUMBER(SEARCH("reimage",R42)),ISNUMBER(SEARCH("lab",R42)),ISNUMBER(SEARCH("test",R42))),"Reimage/Lab Support","Production Imaging")</f>
        <v/>
      </c>
      <c r="T42">
        <f>IF(V42&lt;=4,"4",IF(V42&lt;=8,"8",IF(V42&lt;=12,"12","16+")))</f>
        <v/>
      </c>
      <c r="U42">
        <f>IF(L42,"≤4",IF(L42&lt;=6,"6","8+"))</f>
        <v/>
      </c>
      <c r="V42" s="9">
        <f>VALUE(SUBSTITUTE(K42," GB",""))</f>
        <v/>
      </c>
    </row>
    <row r="43" ht="43.2" customHeight="1" s="25">
      <c r="A43" s="1" t="inlineStr">
        <is>
          <t>Location806</t>
        </is>
      </c>
      <c r="B43" s="1" t="inlineStr">
        <is>
          <t>7189</t>
        </is>
      </c>
      <c r="C43" s="1" t="inlineStr">
        <is>
          <t>CSR</t>
        </is>
      </c>
      <c r="D43" s="1" t="n">
        <v>1</v>
      </c>
      <c r="E43" s="1" t="inlineStr">
        <is>
          <t>HOST4626</t>
        </is>
      </c>
      <c r="F43" s="1" t="n">
        <v>7703</v>
      </c>
      <c r="G43" s="1" t="inlineStr">
        <is>
          <t>POS-7703</t>
        </is>
      </c>
      <c r="H43" s="1" t="inlineStr">
        <is>
          <t>CSR.DAT</t>
        </is>
      </c>
      <c r="I43" s="5">
        <f>N43-M43</f>
        <v/>
      </c>
      <c r="J43" s="6">
        <f>P43-O43</f>
        <v/>
      </c>
      <c r="K43" s="20" t="inlineStr">
        <is>
          <t>16 GB</t>
        </is>
      </c>
      <c r="L43" s="15" t="n">
        <v>2</v>
      </c>
      <c r="M43" s="13" t="n">
        <v>0.5743055555555555</v>
      </c>
      <c r="N43" s="13" t="n">
        <v>0.5930555555555556</v>
      </c>
      <c r="O43" s="13" t="n">
        <v>0.6</v>
      </c>
      <c r="P43" s="13" t="n">
        <v>0.6020833333333333</v>
      </c>
      <c r="Q43" s="3" t="n">
        <v>46132</v>
      </c>
      <c r="S43" s="7">
        <f>IF(OR(ISNUMBER(SEARCH("reimage",R43)),ISNUMBER(SEARCH("lab",R43)),ISNUMBER(SEARCH("test",R43))),"Reimage/Lab Support","Production Imaging")</f>
        <v/>
      </c>
      <c r="T43">
        <f>IF(V43&lt;=4,"4",IF(V43&lt;=8,"8",IF(V43&lt;=12,"12","16+")))</f>
        <v/>
      </c>
      <c r="U43">
        <f>IF(L43,"≤4",IF(L43&lt;=6,"6","8+"))</f>
        <v/>
      </c>
      <c r="V43" s="9">
        <f>VALUE(SUBSTITUTE(K43," GB",""))</f>
        <v/>
      </c>
    </row>
    <row r="44" ht="28.8" customHeight="1" s="25">
      <c r="A44" s="1" t="inlineStr">
        <is>
          <t>Location859</t>
        </is>
      </c>
      <c r="B44" s="1" t="inlineStr">
        <is>
          <t>2109</t>
        </is>
      </c>
      <c r="C44" s="1" t="inlineStr">
        <is>
          <t>SCO</t>
        </is>
      </c>
      <c r="D44" s="1" t="n">
        <v>2</v>
      </c>
      <c r="E44" s="1" t="inlineStr">
        <is>
          <t>HOST8003</t>
        </is>
      </c>
      <c r="F44" s="1" t="n">
        <v>7702</v>
      </c>
      <c r="G44" s="1" t="inlineStr">
        <is>
          <t>SCO-7702</t>
        </is>
      </c>
      <c r="H44" s="1" t="inlineStr">
        <is>
          <t>SCO.DAT</t>
        </is>
      </c>
      <c r="I44" s="5">
        <f>N44-M44</f>
        <v/>
      </c>
      <c r="J44" s="6">
        <f>P44-O44</f>
        <v/>
      </c>
      <c r="K44" t="inlineStr">
        <is>
          <t>12 GB</t>
        </is>
      </c>
      <c r="L44" s="15" t="n">
        <v>4</v>
      </c>
      <c r="M44" s="13" t="n">
        <v>0.5743055555555555</v>
      </c>
      <c r="N44" s="13" t="n">
        <v>0.5847222222222223</v>
      </c>
      <c r="O44" s="13" t="n">
        <v>0.5868055555555556</v>
      </c>
      <c r="P44" s="13" t="n">
        <v>0.5888888888888889</v>
      </c>
      <c r="Q44" s="3" t="n">
        <v>46132</v>
      </c>
      <c r="S44" s="7">
        <f>IF(OR(ISNUMBER(SEARCH("reimage",R44)),ISNUMBER(SEARCH("lab",R44)),ISNUMBER(SEARCH("test",R44))),"Reimage/Lab Support","Production Imaging")</f>
        <v/>
      </c>
      <c r="T44">
        <f>IF(V44&lt;=4,"4",IF(V44&lt;=8,"8",IF(V44&lt;=12,"12","16+")))</f>
        <v/>
      </c>
      <c r="U44">
        <f>IF(L44,"≤4",IF(L44&lt;=6,"6","8+"))</f>
        <v/>
      </c>
      <c r="V44" s="9">
        <f>VALUE(SUBSTITUTE(K44," GB",""))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Nguyen, Alexander</dc:creator>
  <dcterms:created xmlns:dcterms="http://purl.org/dc/terms/" xmlns:xsi="http://www.w3.org/2001/XMLSchema-instance" xsi:type="dcterms:W3CDTF">2026-03-23T16:59:37Z</dcterms:created>
  <dcterms:modified xmlns:dcterms="http://purl.org/dc/terms/" xmlns:xsi="http://www.w3.org/2001/XMLSchema-instance" xsi:type="dcterms:W3CDTF">2026-04-20T22:48:35Z</dcterms:modified>
  <cp:lastModifiedBy>Nguyen, Alexander</cp:lastModifiedBy>
</cp:coreProperties>
</file>

<file path=docProps/custom.xml><?xml version="1.0" encoding="utf-8"?>
<Properties xmlns="http://schemas.openxmlformats.org/officeDocument/2006/custom-properties">
  <property name="MSIP_Label_dc233488-06c6-4c2b-96ac-e256c4376f84_Enabled" fmtid="{D5CDD505-2E9C-101B-9397-08002B2CF9AE}" pid="2">
    <vt:lpwstr xmlns:vt="http://schemas.openxmlformats.org/officeDocument/2006/docPropsVTypes">true</vt:lpwstr>
  </property>
  <property name="MSIP_Label_dc233488-06c6-4c2b-96ac-e256c4376f84_SetDate" fmtid="{D5CDD505-2E9C-101B-9397-08002B2CF9AE}" pid="3">
    <vt:lpwstr xmlns:vt="http://schemas.openxmlformats.org/officeDocument/2006/docPropsVTypes">2026-03-23T16:59:47Z</vt:lpwstr>
  </property>
  <property name="MSIP_Label_dc233488-06c6-4c2b-96ac-e256c4376f84_Method" fmtid="{D5CDD505-2E9C-101B-9397-08002B2CF9AE}" pid="4">
    <vt:lpwstr xmlns:vt="http://schemas.openxmlformats.org/officeDocument/2006/docPropsVTypes">Privileged</vt:lpwstr>
  </property>
  <property name="MSIP_Label_dc233488-06c6-4c2b-96ac-e256c4376f84_Name" fmtid="{D5CDD505-2E9C-101B-9397-08002B2CF9AE}" pid="5">
    <vt:lpwstr xmlns:vt="http://schemas.openxmlformats.org/officeDocument/2006/docPropsVTypes">dc233488-06c6-4c2b-96ac-e256c4376f84</vt:lpwstr>
  </property>
  <property name="MSIP_Label_dc233488-06c6-4c2b-96ac-e256c4376f84_SiteId" fmtid="{D5CDD505-2E9C-101B-9397-08002B2CF9AE}" pid="6">
    <vt:lpwstr xmlns:vt="http://schemas.openxmlformats.org/officeDocument/2006/docPropsVTypes">ae4df1f7-611e-444f-897e-f964e1205171</vt:lpwstr>
  </property>
  <property name="MSIP_Label_dc233488-06c6-4c2b-96ac-e256c4376f84_ActionId" fmtid="{D5CDD505-2E9C-101B-9397-08002B2CF9AE}" pid="7">
    <vt:lpwstr xmlns:vt="http://schemas.openxmlformats.org/officeDocument/2006/docPropsVTypes">26f30723-80ce-498e-85a9-0a8f4b34628b</vt:lpwstr>
  </property>
  <property name="MSIP_Label_dc233488-06c6-4c2b-96ac-e256c4376f84_ContentBits" fmtid="{D5CDD505-2E9C-101B-9397-08002B2CF9AE}" pid="8">
    <vt:lpwstr xmlns:vt="http://schemas.openxmlformats.org/officeDocument/2006/docPropsVTypes">0</vt:lpwstr>
  </property>
  <property name="MSIP_Label_dc233488-06c6-4c2b-96ac-e256c4376f84_Tag" fmtid="{D5CDD505-2E9C-101B-9397-08002B2CF9AE}" pid="9">
    <vt:lpwstr xmlns:vt="http://schemas.openxmlformats.org/officeDocument/2006/docPropsVTypes">10, 0, 1, 1</vt:lpwstr>
  </property>
</Properties>
</file>